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/>
  <mc:AlternateContent xmlns:mc="http://schemas.openxmlformats.org/markup-compatibility/2006">
    <mc:Choice Requires="x15">
      <x15ac:absPath xmlns:x15ac="http://schemas.microsoft.com/office/spreadsheetml/2010/11/ac" url="/Users/iangalbreath/Documents/GitHub/RSV-asthma-US/"/>
    </mc:Choice>
  </mc:AlternateContent>
  <xr:revisionPtr revIDLastSave="0" documentId="13_ncr:1_{2564DC3C-121A-0043-AB12-547F519E9DF5}" xr6:coauthVersionLast="47" xr6:coauthVersionMax="47" xr10:uidLastSave="{00000000-0000-0000-0000-000000000000}"/>
  <bookViews>
    <workbookView xWindow="0" yWindow="500" windowWidth="28800" windowHeight="16400" activeTab="3" xr2:uid="{00000000-000D-0000-FFFF-FFFF00000000}"/>
  </bookViews>
  <sheets>
    <sheet name="Medicaid" sheetId="1" r:id="rId1"/>
    <sheet name="MarketScan Commercial CCAE" sheetId="2" r:id="rId2"/>
    <sheet name="Optum Clinformatics" sheetId="3" r:id="rId3"/>
    <sheet name="worksheet" sheetId="4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4" l="1"/>
  <c r="Z15" i="4"/>
  <c r="AA15" i="4"/>
  <c r="Y16" i="4"/>
  <c r="Z16" i="4"/>
  <c r="AA16" i="4"/>
  <c r="Z14" i="4"/>
  <c r="AA14" i="4"/>
  <c r="Y14" i="4"/>
  <c r="Y12" i="4"/>
  <c r="Z12" i="4"/>
  <c r="AA12" i="4"/>
  <c r="Y13" i="4"/>
  <c r="Z13" i="4"/>
  <c r="AA13" i="4"/>
  <c r="Z11" i="4"/>
  <c r="AA11" i="4"/>
  <c r="Y11" i="4"/>
  <c r="Y9" i="4"/>
  <c r="Z9" i="4"/>
  <c r="AA9" i="4"/>
  <c r="Y10" i="4"/>
  <c r="Z10" i="4"/>
  <c r="AA10" i="4"/>
  <c r="Z8" i="4"/>
  <c r="AA8" i="4"/>
  <c r="Y8" i="4"/>
  <c r="Y28" i="4"/>
  <c r="Z28" i="4"/>
  <c r="AA28" i="4"/>
  <c r="Y29" i="4"/>
  <c r="Z29" i="4"/>
  <c r="AA29" i="4"/>
  <c r="Z27" i="4"/>
  <c r="AA27" i="4"/>
  <c r="Y27" i="4"/>
  <c r="Y25" i="4"/>
  <c r="Z25" i="4"/>
  <c r="AA25" i="4"/>
  <c r="Y26" i="4"/>
  <c r="Z26" i="4"/>
  <c r="AA26" i="4"/>
  <c r="Z24" i="4"/>
  <c r="AA24" i="4"/>
  <c r="Y24" i="4"/>
  <c r="Y22" i="4"/>
  <c r="Z22" i="4"/>
  <c r="AA22" i="4"/>
  <c r="Y23" i="4"/>
  <c r="Z23" i="4"/>
  <c r="AA23" i="4"/>
  <c r="Z21" i="4"/>
  <c r="AA21" i="4"/>
  <c r="Y21" i="4"/>
  <c r="L22" i="4"/>
  <c r="M22" i="4"/>
  <c r="N22" i="4"/>
  <c r="L23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L28" i="4"/>
  <c r="M28" i="4"/>
  <c r="N28" i="4"/>
  <c r="L29" i="4"/>
  <c r="M29" i="4"/>
  <c r="N29" i="4"/>
  <c r="L21" i="4"/>
  <c r="M21" i="4"/>
  <c r="N21" i="4"/>
  <c r="M10" i="4"/>
  <c r="L10" i="4"/>
  <c r="N10" i="4"/>
  <c r="M11" i="4"/>
  <c r="L11" i="4"/>
  <c r="N11" i="4"/>
  <c r="M12" i="4"/>
  <c r="L12" i="4"/>
  <c r="N12" i="4"/>
  <c r="M13" i="4"/>
  <c r="L13" i="4"/>
  <c r="N13" i="4"/>
  <c r="M14" i="4"/>
  <c r="L14" i="4"/>
  <c r="N14" i="4"/>
  <c r="M15" i="4"/>
  <c r="L15" i="4"/>
  <c r="N15" i="4"/>
  <c r="K28" i="4"/>
  <c r="K29" i="4"/>
  <c r="K27" i="4"/>
  <c r="K25" i="4"/>
  <c r="K26" i="4"/>
  <c r="K24" i="4"/>
  <c r="K22" i="4"/>
  <c r="K23" i="4"/>
  <c r="K21" i="4"/>
  <c r="K14" i="4"/>
  <c r="K15" i="4"/>
  <c r="K13" i="4"/>
  <c r="K11" i="4"/>
  <c r="K12" i="4"/>
  <c r="K10" i="4"/>
  <c r="L7" i="4"/>
  <c r="M7" i="4"/>
  <c r="N7" i="4"/>
  <c r="L8" i="4"/>
  <c r="M8" i="4"/>
  <c r="N8" i="4"/>
  <c r="M9" i="4"/>
  <c r="L9" i="4"/>
  <c r="N9" i="4"/>
  <c r="K9" i="4"/>
  <c r="K8" i="4"/>
  <c r="K7" i="4"/>
  <c r="H10" i="1"/>
  <c r="H20" i="1"/>
  <c r="M21" i="1"/>
  <c r="O13" i="2"/>
  <c r="O24" i="1"/>
  <c r="P24" i="1"/>
  <c r="P33" i="1"/>
  <c r="O33" i="1"/>
  <c r="O19" i="1"/>
  <c r="L19" i="1"/>
  <c r="L17" i="1"/>
  <c r="L14" i="1"/>
  <c r="M14" i="1"/>
  <c r="N14" i="1"/>
  <c r="L11" i="1"/>
  <c r="M11" i="1"/>
  <c r="N11" i="1"/>
  <c r="M17" i="1"/>
  <c r="N17" i="1"/>
  <c r="M16" i="1"/>
  <c r="L16" i="1"/>
  <c r="M10" i="1"/>
  <c r="N10" i="1"/>
  <c r="O10" i="1"/>
  <c r="P10" i="1"/>
  <c r="M13" i="1"/>
  <c r="N13" i="1"/>
  <c r="O13" i="1"/>
  <c r="P13" i="1"/>
  <c r="N16" i="1"/>
  <c r="O16" i="1"/>
  <c r="P16" i="1"/>
  <c r="M19" i="1"/>
  <c r="C20" i="1"/>
  <c r="L13" i="1"/>
  <c r="L10" i="1"/>
  <c r="H24" i="1"/>
  <c r="I10" i="1"/>
  <c r="H37" i="1"/>
  <c r="H39" i="1"/>
  <c r="H38" i="1"/>
  <c r="I37" i="1"/>
  <c r="J9" i="3"/>
  <c r="J18" i="3"/>
  <c r="E30" i="3"/>
  <c r="M29" i="3"/>
  <c r="L29" i="3"/>
  <c r="K29" i="3"/>
  <c r="M28" i="3"/>
  <c r="L28" i="3"/>
  <c r="K28" i="3"/>
  <c r="M27" i="3"/>
  <c r="N27" i="3"/>
  <c r="L27" i="3"/>
  <c r="K27" i="3"/>
  <c r="J27" i="3"/>
  <c r="M26" i="3"/>
  <c r="L26" i="3"/>
  <c r="K26" i="3"/>
  <c r="M25" i="3"/>
  <c r="L25" i="3"/>
  <c r="K25" i="3"/>
  <c r="M24" i="3"/>
  <c r="N24" i="3"/>
  <c r="L24" i="3"/>
  <c r="K24" i="3"/>
  <c r="J24" i="3"/>
  <c r="M23" i="3"/>
  <c r="L23" i="3"/>
  <c r="K23" i="3"/>
  <c r="M22" i="3"/>
  <c r="L22" i="3"/>
  <c r="K22" i="3"/>
  <c r="M21" i="3"/>
  <c r="N21" i="3"/>
  <c r="L21" i="3"/>
  <c r="K21" i="3"/>
  <c r="J21" i="3"/>
  <c r="E18" i="3"/>
  <c r="M17" i="3"/>
  <c r="L17" i="3"/>
  <c r="K17" i="3"/>
  <c r="M16" i="3"/>
  <c r="L16" i="3"/>
  <c r="K16" i="3"/>
  <c r="M15" i="3"/>
  <c r="N15" i="3"/>
  <c r="L15" i="3"/>
  <c r="K15" i="3"/>
  <c r="J15" i="3"/>
  <c r="M14" i="3"/>
  <c r="L14" i="3"/>
  <c r="K14" i="3"/>
  <c r="M13" i="3"/>
  <c r="L13" i="3"/>
  <c r="K13" i="3"/>
  <c r="M12" i="3"/>
  <c r="L12" i="3"/>
  <c r="K12" i="3"/>
  <c r="J12" i="3"/>
  <c r="M11" i="3"/>
  <c r="N12" i="3"/>
  <c r="P12" i="3"/>
  <c r="L11" i="3"/>
  <c r="K11" i="3"/>
  <c r="M10" i="3"/>
  <c r="L10" i="3"/>
  <c r="K10" i="3"/>
  <c r="M9" i="3"/>
  <c r="N9" i="3"/>
  <c r="L9" i="3"/>
  <c r="K9" i="3"/>
  <c r="C25" i="2"/>
  <c r="K24" i="2"/>
  <c r="J24" i="2"/>
  <c r="I24" i="2"/>
  <c r="K23" i="2"/>
  <c r="J23" i="2"/>
  <c r="I23" i="2"/>
  <c r="K22" i="2"/>
  <c r="L22" i="2"/>
  <c r="J22" i="2"/>
  <c r="I22" i="2"/>
  <c r="H22" i="2"/>
  <c r="K21" i="2"/>
  <c r="J21" i="2"/>
  <c r="I21" i="2"/>
  <c r="K20" i="2"/>
  <c r="J20" i="2"/>
  <c r="I20" i="2"/>
  <c r="K19" i="2"/>
  <c r="L19" i="2"/>
  <c r="J19" i="2"/>
  <c r="I19" i="2"/>
  <c r="H19" i="2"/>
  <c r="K18" i="2"/>
  <c r="J18" i="2"/>
  <c r="I18" i="2"/>
  <c r="K17" i="2"/>
  <c r="J17" i="2"/>
  <c r="I17" i="2"/>
  <c r="K16" i="2"/>
  <c r="L16" i="2"/>
  <c r="J16" i="2"/>
  <c r="I16" i="2"/>
  <c r="H16" i="2"/>
  <c r="C13" i="2"/>
  <c r="K12" i="2"/>
  <c r="J12" i="2"/>
  <c r="I12" i="2"/>
  <c r="K11" i="2"/>
  <c r="J11" i="2"/>
  <c r="I11" i="2"/>
  <c r="K10" i="2"/>
  <c r="L10" i="2"/>
  <c r="J10" i="2"/>
  <c r="I10" i="2"/>
  <c r="H10" i="2"/>
  <c r="K9" i="2"/>
  <c r="J9" i="2"/>
  <c r="I9" i="2"/>
  <c r="K8" i="2"/>
  <c r="J8" i="2"/>
  <c r="I8" i="2"/>
  <c r="K7" i="2"/>
  <c r="J7" i="2"/>
  <c r="I7" i="2"/>
  <c r="H7" i="2"/>
  <c r="K6" i="2"/>
  <c r="L7" i="2"/>
  <c r="N7" i="2"/>
  <c r="J6" i="2"/>
  <c r="I6" i="2"/>
  <c r="K5" i="2"/>
  <c r="J5" i="2"/>
  <c r="I5" i="2"/>
  <c r="K4" i="2"/>
  <c r="L4" i="2"/>
  <c r="J4" i="2"/>
  <c r="I4" i="2"/>
  <c r="H4" i="2"/>
  <c r="C34" i="1"/>
  <c r="M35" i="1"/>
  <c r="I11" i="1"/>
  <c r="H30" i="1"/>
  <c r="H27" i="1"/>
  <c r="H34" i="1"/>
  <c r="H16" i="1"/>
  <c r="H13" i="1"/>
  <c r="K11" i="1"/>
  <c r="K12" i="1"/>
  <c r="K13" i="1"/>
  <c r="K14" i="1"/>
  <c r="K15" i="1"/>
  <c r="K16" i="1"/>
  <c r="K17" i="1"/>
  <c r="K18" i="1"/>
  <c r="K24" i="1"/>
  <c r="K25" i="1"/>
  <c r="K26" i="1"/>
  <c r="K27" i="1"/>
  <c r="K28" i="1"/>
  <c r="K29" i="1"/>
  <c r="K30" i="1"/>
  <c r="K31" i="1"/>
  <c r="K32" i="1"/>
  <c r="I24" i="1"/>
  <c r="I25" i="1"/>
  <c r="I26" i="1"/>
  <c r="I27" i="1"/>
  <c r="I28" i="1"/>
  <c r="I29" i="1"/>
  <c r="I30" i="1"/>
  <c r="I31" i="1"/>
  <c r="I32" i="1"/>
  <c r="J11" i="1"/>
  <c r="J12" i="1"/>
  <c r="J13" i="1"/>
  <c r="J14" i="1"/>
  <c r="J15" i="1"/>
  <c r="J16" i="1"/>
  <c r="J17" i="1"/>
  <c r="J18" i="1"/>
  <c r="J24" i="1"/>
  <c r="J25" i="1"/>
  <c r="J26" i="1"/>
  <c r="J27" i="1"/>
  <c r="J28" i="1"/>
  <c r="J29" i="1"/>
  <c r="J30" i="1"/>
  <c r="J31" i="1"/>
  <c r="J32" i="1"/>
  <c r="I12" i="1"/>
  <c r="I13" i="1"/>
  <c r="I14" i="1"/>
  <c r="I15" i="1"/>
  <c r="I16" i="1"/>
  <c r="I17" i="1"/>
  <c r="I18" i="1"/>
  <c r="K10" i="1"/>
  <c r="J10" i="1"/>
  <c r="N19" i="1"/>
  <c r="P19" i="1"/>
  <c r="L31" i="1"/>
  <c r="L28" i="1"/>
  <c r="L25" i="1"/>
  <c r="M25" i="1"/>
  <c r="N25" i="1"/>
  <c r="L24" i="1"/>
  <c r="N35" i="1"/>
  <c r="O35" i="1"/>
  <c r="P35" i="1"/>
  <c r="O27" i="1"/>
  <c r="P27" i="1"/>
  <c r="M28" i="1"/>
  <c r="N28" i="1"/>
  <c r="M31" i="1"/>
  <c r="N31" i="1"/>
  <c r="Q18" i="3"/>
  <c r="R18" i="3"/>
  <c r="Q9" i="3"/>
  <c r="R9" i="3"/>
  <c r="O9" i="3"/>
  <c r="N18" i="3"/>
  <c r="P18" i="3"/>
  <c r="P9" i="3"/>
  <c r="Q12" i="3"/>
  <c r="R12" i="3"/>
  <c r="O12" i="3"/>
  <c r="Q15" i="3"/>
  <c r="R15" i="3"/>
  <c r="O15" i="3"/>
  <c r="P15" i="3"/>
  <c r="J30" i="3"/>
  <c r="Q30" i="3"/>
  <c r="R30" i="3"/>
  <c r="Q21" i="3"/>
  <c r="R21" i="3"/>
  <c r="O21" i="3"/>
  <c r="N30" i="3"/>
  <c r="P30" i="3"/>
  <c r="P21" i="3"/>
  <c r="Q24" i="3"/>
  <c r="R24" i="3"/>
  <c r="O24" i="3"/>
  <c r="P24" i="3"/>
  <c r="Q27" i="3"/>
  <c r="R27" i="3"/>
  <c r="O27" i="3"/>
  <c r="P27" i="3"/>
  <c r="H13" i="2"/>
  <c r="P13" i="2"/>
  <c r="O4" i="2"/>
  <c r="P4" i="2"/>
  <c r="M4" i="2"/>
  <c r="L13" i="2"/>
  <c r="N13" i="2"/>
  <c r="N4" i="2"/>
  <c r="O7" i="2"/>
  <c r="P7" i="2"/>
  <c r="M7" i="2"/>
  <c r="O10" i="2"/>
  <c r="P10" i="2"/>
  <c r="M10" i="2"/>
  <c r="N10" i="2"/>
  <c r="H25" i="2"/>
  <c r="O25" i="2"/>
  <c r="P25" i="2"/>
  <c r="O16" i="2"/>
  <c r="P16" i="2"/>
  <c r="M16" i="2"/>
  <c r="L25" i="2"/>
  <c r="N25" i="2"/>
  <c r="N16" i="2"/>
  <c r="O19" i="2"/>
  <c r="P19" i="2"/>
  <c r="M19" i="2"/>
  <c r="N19" i="2"/>
  <c r="O22" i="2"/>
  <c r="P22" i="2"/>
  <c r="M22" i="2"/>
  <c r="N22" i="2"/>
  <c r="O30" i="1"/>
  <c r="P30" i="1"/>
  <c r="L30" i="1"/>
  <c r="M30" i="1"/>
  <c r="L27" i="1"/>
  <c r="N21" i="1"/>
  <c r="O21" i="1"/>
  <c r="P21" i="1"/>
  <c r="L33" i="1"/>
  <c r="M24" i="1"/>
  <c r="O30" i="3"/>
  <c r="O18" i="3"/>
  <c r="M25" i="2"/>
  <c r="M13" i="2"/>
  <c r="N33" i="1"/>
  <c r="N24" i="1"/>
  <c r="N27" i="1"/>
  <c r="M27" i="1"/>
  <c r="N30" i="1"/>
  <c r="M33" i="1"/>
</calcChain>
</file>

<file path=xl/sharedStrings.xml><?xml version="1.0" encoding="utf-8"?>
<sst xmlns="http://schemas.openxmlformats.org/spreadsheetml/2006/main" count="222" uniqueCount="40">
  <si>
    <t>MEDICAID</t>
  </si>
  <si>
    <t>specific def</t>
  </si>
  <si>
    <t>Episodes</t>
  </si>
  <si>
    <t>Visits</t>
  </si>
  <si>
    <t>Visits sum</t>
  </si>
  <si>
    <t>row %</t>
  </si>
  <si>
    <t>row #</t>
  </si>
  <si>
    <t>sum &gt;=2 visits</t>
  </si>
  <si>
    <t>"Unique" visits</t>
  </si>
  <si>
    <t>% of double visits by patient condition</t>
  </si>
  <si>
    <t>Total Visits-Total episodes</t>
  </si>
  <si>
    <t>difference/total visits</t>
  </si>
  <si>
    <t>healthy</t>
  </si>
  <si>
    <t>o/p</t>
  </si>
  <si>
    <t>ed</t>
  </si>
  <si>
    <t>hosp</t>
  </si>
  <si>
    <t>pali</t>
  </si>
  <si>
    <t>other</t>
  </si>
  <si>
    <t>Summed Episodes</t>
  </si>
  <si>
    <t>Summed Visits</t>
  </si>
  <si>
    <t>Added Medicaid/Marketscan episodes</t>
  </si>
  <si>
    <t>Added Medicaid/Marketscan visits</t>
  </si>
  <si>
    <t>sensitive def</t>
  </si>
  <si>
    <t>% of double visits</t>
  </si>
  <si>
    <t>Added Medicaid / Marketscan episodes</t>
  </si>
  <si>
    <t>Added Medicaid / Marketscan visits</t>
  </si>
  <si>
    <t>Total Visits - Total episodes</t>
  </si>
  <si>
    <t>difference / total visits</t>
  </si>
  <si>
    <t>MDCD</t>
  </si>
  <si>
    <t>Specific</t>
  </si>
  <si>
    <t>ave visits</t>
  </si>
  <si>
    <t>% encounter by episode</t>
  </si>
  <si>
    <t>Sensitive</t>
  </si>
  <si>
    <t>43-63% involved &gt;=2 visits across all databases</t>
  </si>
  <si>
    <t>35-44% involved &gt;=2 visits across all databases</t>
  </si>
  <si>
    <t>MarketScan Commercial CCAE</t>
  </si>
  <si>
    <t>Visits-episodes</t>
  </si>
  <si>
    <t>Optum</t>
  </si>
  <si>
    <t>`</t>
  </si>
  <si>
    <t>INFORMATION FROM THIS WORKBOOK SOURCE FROM GANTENBERG ET. ALL REGARDING HEALTHCARE UTILIZATION DURING ACUTE MA EPISODES OF RSV-LRTI AMONG INFANTS IN UNITED STATES -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</si>
</sst>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20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urnals.plos.org/plosone/article?id=10.1371/journal.pone.0313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44"/>
  <sheetViews>
    <sheetView topLeftCell="A15" workbookViewId="0">
      <selection activeCell="A23" sqref="A23:G32"/>
    </sheetView>
  </sheetViews>
  <sheetFormatPr baseColWidth="10" defaultColWidth="8.83203125" defaultRowHeight="15" x14ac:dyDescent="0.2"/>
  <cols>
    <col min="13" max="16" width="19.5" customWidth="1"/>
  </cols>
  <sheetData>
    <row r="2" spans="1:16" ht="63" customHeight="1" x14ac:dyDescent="0.35">
      <c r="B2" s="7" t="s">
        <v>39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7" spans="1:16" x14ac:dyDescent="0.2">
      <c r="C7" s="8" t="s">
        <v>0</v>
      </c>
      <c r="D7" s="8"/>
      <c r="E7" s="8"/>
      <c r="F7" s="8"/>
      <c r="G7" s="8"/>
    </row>
    <row r="8" spans="1:16" x14ac:dyDescent="0.2">
      <c r="A8" s="8" t="s">
        <v>1</v>
      </c>
      <c r="B8" s="8"/>
      <c r="C8" t="s">
        <v>2</v>
      </c>
      <c r="D8" t="s">
        <v>3</v>
      </c>
      <c r="E8">
        <v>0</v>
      </c>
      <c r="F8">
        <v>1</v>
      </c>
      <c r="G8">
        <v>2</v>
      </c>
      <c r="H8" t="s">
        <v>4</v>
      </c>
      <c r="I8">
        <v>0</v>
      </c>
      <c r="J8">
        <v>1</v>
      </c>
      <c r="K8">
        <v>2</v>
      </c>
    </row>
    <row r="9" spans="1:16" ht="32" x14ac:dyDescent="0.2">
      <c r="E9" s="8" t="s">
        <v>5</v>
      </c>
      <c r="F9" s="8"/>
      <c r="G9" s="8"/>
      <c r="I9" s="8" t="s">
        <v>6</v>
      </c>
      <c r="J9" s="8"/>
      <c r="K9" s="8"/>
      <c r="L9" t="s">
        <v>7</v>
      </c>
      <c r="M9" s="4" t="s">
        <v>8</v>
      </c>
      <c r="N9" s="4" t="s">
        <v>9</v>
      </c>
      <c r="O9" s="4" t="s">
        <v>10</v>
      </c>
      <c r="P9" s="4" t="s">
        <v>11</v>
      </c>
    </row>
    <row r="10" spans="1:16" x14ac:dyDescent="0.2">
      <c r="A10" t="s">
        <v>12</v>
      </c>
      <c r="B10" t="s">
        <v>13</v>
      </c>
      <c r="C10">
        <v>52348</v>
      </c>
      <c r="D10">
        <v>48199</v>
      </c>
      <c r="E10">
        <v>0.3</v>
      </c>
      <c r="F10">
        <v>0.52300000000000002</v>
      </c>
      <c r="G10">
        <v>0.17699999999999999</v>
      </c>
      <c r="H10">
        <f>SUM(D10:D12)</f>
        <v>84894</v>
      </c>
      <c r="I10">
        <f>D10*E10</f>
        <v>14459.699999999999</v>
      </c>
      <c r="J10">
        <f>D10*F10</f>
        <v>25208.077000000001</v>
      </c>
      <c r="K10">
        <f>D10*G10</f>
        <v>8531.223</v>
      </c>
      <c r="L10" s="5">
        <f>SUM(K10:K12)</f>
        <v>10241.08</v>
      </c>
      <c r="M10" s="5">
        <f>H10-L10</f>
        <v>74652.92</v>
      </c>
      <c r="N10" s="5">
        <f>L10/H10</f>
        <v>0.12063373147690061</v>
      </c>
      <c r="O10" s="5">
        <f>H10-C10</f>
        <v>32546</v>
      </c>
      <c r="P10" s="5">
        <f>O10/H10</f>
        <v>0.38337220533842203</v>
      </c>
    </row>
    <row r="11" spans="1:16" x14ac:dyDescent="0.2">
      <c r="B11" t="s">
        <v>14</v>
      </c>
      <c r="D11">
        <v>27011</v>
      </c>
      <c r="E11">
        <v>0.55000000000000004</v>
      </c>
      <c r="F11">
        <v>0.39200000000000002</v>
      </c>
      <c r="G11">
        <v>5.8999999999999997E-2</v>
      </c>
      <c r="I11">
        <f>D11*E11</f>
        <v>14856.050000000001</v>
      </c>
      <c r="J11">
        <f t="shared" ref="J11:J18" si="0">D11*F11</f>
        <v>10588.312</v>
      </c>
      <c r="K11">
        <f t="shared" ref="K11:K18" si="1">D11*G11</f>
        <v>1593.6489999999999</v>
      </c>
      <c r="L11" s="5">
        <f>SUM(J10:K12)</f>
        <v>47596.593000000001</v>
      </c>
      <c r="M11" s="5">
        <f>H10-L11</f>
        <v>37297.406999999999</v>
      </c>
      <c r="N11" s="5">
        <f>M11/H10</f>
        <v>0.4393409074846279</v>
      </c>
      <c r="O11" s="5"/>
      <c r="P11" s="5"/>
    </row>
    <row r="12" spans="1:16" x14ac:dyDescent="0.2">
      <c r="B12" t="s">
        <v>15</v>
      </c>
      <c r="D12">
        <v>9684</v>
      </c>
      <c r="E12">
        <v>0.82699999999999996</v>
      </c>
      <c r="F12">
        <v>0.161</v>
      </c>
      <c r="G12">
        <v>1.2E-2</v>
      </c>
      <c r="I12">
        <f t="shared" ref="I12:I18" si="2">D12*E12</f>
        <v>8008.6679999999997</v>
      </c>
      <c r="J12">
        <f t="shared" si="0"/>
        <v>1559.124</v>
      </c>
      <c r="K12">
        <f t="shared" si="1"/>
        <v>116.208</v>
      </c>
      <c r="L12" s="5"/>
      <c r="M12" s="5"/>
      <c r="N12" s="5"/>
      <c r="O12" s="5"/>
      <c r="P12" s="5"/>
    </row>
    <row r="13" spans="1:16" x14ac:dyDescent="0.2">
      <c r="A13" t="s">
        <v>16</v>
      </c>
      <c r="B13" t="s">
        <v>13</v>
      </c>
      <c r="C13">
        <v>2649</v>
      </c>
      <c r="D13">
        <v>2015</v>
      </c>
      <c r="E13">
        <v>0.41299999999999998</v>
      </c>
      <c r="F13">
        <v>0.442</v>
      </c>
      <c r="G13">
        <v>0.14499999999999999</v>
      </c>
      <c r="H13">
        <f>SUM(D13:D15)</f>
        <v>4383</v>
      </c>
      <c r="I13">
        <f t="shared" si="2"/>
        <v>832.19499999999994</v>
      </c>
      <c r="J13">
        <f t="shared" si="0"/>
        <v>890.63</v>
      </c>
      <c r="K13">
        <f t="shared" si="1"/>
        <v>292.17499999999995</v>
      </c>
      <c r="L13" s="5">
        <f>SUM(K12:K14)</f>
        <v>476.55499999999995</v>
      </c>
      <c r="M13" s="5">
        <f>H13-L13</f>
        <v>3906.4450000000002</v>
      </c>
      <c r="N13" s="5">
        <f>L13/H13</f>
        <v>0.10872804015514487</v>
      </c>
      <c r="O13" s="5">
        <f>H13-C13</f>
        <v>1734</v>
      </c>
      <c r="P13" s="5">
        <f>O13/H13</f>
        <v>0.39561943874058864</v>
      </c>
    </row>
    <row r="14" spans="1:16" x14ac:dyDescent="0.2">
      <c r="B14" t="s">
        <v>14</v>
      </c>
      <c r="D14">
        <v>1311</v>
      </c>
      <c r="E14">
        <v>0.56200000000000006</v>
      </c>
      <c r="F14">
        <v>0.38700000000000001</v>
      </c>
      <c r="G14">
        <v>5.1999999999999998E-2</v>
      </c>
      <c r="I14">
        <f t="shared" si="2"/>
        <v>736.78200000000004</v>
      </c>
      <c r="J14">
        <f t="shared" si="0"/>
        <v>507.35700000000003</v>
      </c>
      <c r="K14">
        <f t="shared" si="1"/>
        <v>68.171999999999997</v>
      </c>
      <c r="L14" s="5">
        <f>SUM(J13:K15)</f>
        <v>2148.3669999999997</v>
      </c>
      <c r="M14" s="5">
        <f>H13-L14</f>
        <v>2234.6330000000003</v>
      </c>
      <c r="N14" s="5">
        <f>M14/H13</f>
        <v>0.50984097650011417</v>
      </c>
      <c r="O14" s="5"/>
      <c r="P14" s="5"/>
    </row>
    <row r="15" spans="1:16" x14ac:dyDescent="0.2">
      <c r="B15" t="s">
        <v>15</v>
      </c>
      <c r="D15">
        <v>1057</v>
      </c>
      <c r="E15">
        <v>0.63</v>
      </c>
      <c r="F15">
        <v>0.34100000000000003</v>
      </c>
      <c r="G15">
        <v>2.8000000000000001E-2</v>
      </c>
      <c r="I15">
        <f t="shared" si="2"/>
        <v>665.91</v>
      </c>
      <c r="J15">
        <f t="shared" si="0"/>
        <v>360.43700000000001</v>
      </c>
      <c r="K15">
        <f t="shared" si="1"/>
        <v>29.596</v>
      </c>
      <c r="L15" s="5"/>
      <c r="M15" s="5"/>
      <c r="N15" s="5"/>
      <c r="O15" s="5"/>
      <c r="P15" s="5"/>
    </row>
    <row r="16" spans="1:16" x14ac:dyDescent="0.2">
      <c r="A16" t="s">
        <v>17</v>
      </c>
      <c r="B16" t="s">
        <v>13</v>
      </c>
      <c r="C16">
        <v>12360</v>
      </c>
      <c r="D16">
        <v>10201</v>
      </c>
      <c r="E16">
        <v>0.371</v>
      </c>
      <c r="F16">
        <v>0.47499999999999998</v>
      </c>
      <c r="G16">
        <v>0.155</v>
      </c>
      <c r="H16">
        <f>SUM(D16:D18)</f>
        <v>20890</v>
      </c>
      <c r="I16">
        <f t="shared" si="2"/>
        <v>3784.5709999999999</v>
      </c>
      <c r="J16">
        <f t="shared" si="0"/>
        <v>4845.4749999999995</v>
      </c>
      <c r="K16">
        <f t="shared" si="1"/>
        <v>1581.155</v>
      </c>
      <c r="L16" s="5">
        <f>SUM(K16:K18)</f>
        <v>2108.0250000000001</v>
      </c>
      <c r="M16" s="5">
        <f>H16-L16</f>
        <v>18781.974999999999</v>
      </c>
      <c r="N16" s="5">
        <f>L16/H16</f>
        <v>0.10091072283389182</v>
      </c>
      <c r="O16" s="5">
        <f>H16-C16</f>
        <v>8530</v>
      </c>
      <c r="P16" s="5">
        <f>O16/H16</f>
        <v>0.40832934418382</v>
      </c>
    </row>
    <row r="17" spans="1:17" x14ac:dyDescent="0.2">
      <c r="B17" t="s">
        <v>14</v>
      </c>
      <c r="D17">
        <v>6784</v>
      </c>
      <c r="E17">
        <v>0.52300000000000002</v>
      </c>
      <c r="F17">
        <v>0.41299999999999998</v>
      </c>
      <c r="G17">
        <v>6.5000000000000002E-2</v>
      </c>
      <c r="I17">
        <f t="shared" si="2"/>
        <v>3548.0320000000002</v>
      </c>
      <c r="J17">
        <f t="shared" si="0"/>
        <v>2801.7919999999999</v>
      </c>
      <c r="K17">
        <f t="shared" si="1"/>
        <v>440.96000000000004</v>
      </c>
      <c r="L17" s="5">
        <f>SUM(J16:K18)</f>
        <v>10813.546999999999</v>
      </c>
      <c r="M17" s="5">
        <f>H16-L17</f>
        <v>10076.453000000001</v>
      </c>
      <c r="N17" s="5">
        <f>M17/H16</f>
        <v>0.48235773097175688</v>
      </c>
      <c r="O17" s="5"/>
      <c r="P17" s="5"/>
    </row>
    <row r="18" spans="1:17" x14ac:dyDescent="0.2">
      <c r="B18" t="s">
        <v>15</v>
      </c>
      <c r="D18">
        <v>3905</v>
      </c>
      <c r="E18">
        <v>0.70699999999999996</v>
      </c>
      <c r="F18">
        <v>0.27100000000000002</v>
      </c>
      <c r="G18">
        <v>2.1999999999999999E-2</v>
      </c>
      <c r="I18">
        <f t="shared" si="2"/>
        <v>2760.835</v>
      </c>
      <c r="J18">
        <f t="shared" si="0"/>
        <v>1058.2550000000001</v>
      </c>
      <c r="K18">
        <f t="shared" si="1"/>
        <v>85.91</v>
      </c>
      <c r="L18" s="5"/>
      <c r="M18" s="5"/>
      <c r="N18" s="5"/>
      <c r="O18" s="5"/>
      <c r="P18" s="5"/>
    </row>
    <row r="19" spans="1:17" x14ac:dyDescent="0.2">
      <c r="C19" t="s">
        <v>18</v>
      </c>
      <c r="H19" t="s">
        <v>19</v>
      </c>
      <c r="L19" s="5">
        <f>SUM(L10+L13+L16)</f>
        <v>12825.66</v>
      </c>
      <c r="M19" s="5">
        <f>SUM(M10+M13+M16)</f>
        <v>97341.34</v>
      </c>
      <c r="N19" s="5">
        <f>L19/H20</f>
        <v>0.11642016211751251</v>
      </c>
      <c r="O19">
        <f>H20-C20</f>
        <v>42810</v>
      </c>
      <c r="P19">
        <f>O19/H20</f>
        <v>0.38859186507756405</v>
      </c>
    </row>
    <row r="20" spans="1:17" ht="48" x14ac:dyDescent="0.2">
      <c r="C20">
        <f>SUM(C10:C18)</f>
        <v>67357</v>
      </c>
      <c r="H20">
        <f>SUM(H10:H18)</f>
        <v>110167</v>
      </c>
      <c r="M20" s="4" t="s">
        <v>20</v>
      </c>
      <c r="N20" s="4" t="s">
        <v>21</v>
      </c>
      <c r="O20" s="4" t="s">
        <v>10</v>
      </c>
      <c r="P20" s="4" t="s">
        <v>11</v>
      </c>
      <c r="Q20" s="2"/>
    </row>
    <row r="21" spans="1:17" x14ac:dyDescent="0.2">
      <c r="M21">
        <f>C20+'MarketScan Commercial CCAE'!C13</f>
        <v>92766</v>
      </c>
      <c r="N21">
        <f>H20+'MarketScan Commercial CCAE'!H13</f>
        <v>153468</v>
      </c>
      <c r="O21">
        <f>N21-M21</f>
        <v>60702</v>
      </c>
      <c r="P21">
        <f>O21/N21</f>
        <v>0.39553522558448667</v>
      </c>
      <c r="Q21" s="2"/>
    </row>
    <row r="23" spans="1:17" ht="32" x14ac:dyDescent="0.2">
      <c r="A23" s="8" t="s">
        <v>22</v>
      </c>
      <c r="B23" s="8"/>
      <c r="L23" t="s">
        <v>7</v>
      </c>
      <c r="M23" t="s">
        <v>8</v>
      </c>
      <c r="N23" t="s">
        <v>23</v>
      </c>
      <c r="O23" s="4" t="s">
        <v>10</v>
      </c>
      <c r="P23" s="4" t="s">
        <v>11</v>
      </c>
    </row>
    <row r="24" spans="1:17" x14ac:dyDescent="0.2">
      <c r="A24" t="s">
        <v>12</v>
      </c>
      <c r="B24" t="s">
        <v>13</v>
      </c>
      <c r="C24">
        <v>132070</v>
      </c>
      <c r="D24">
        <v>120933</v>
      </c>
      <c r="E24">
        <v>0.28899999999999998</v>
      </c>
      <c r="F24">
        <v>0.54100000000000004</v>
      </c>
      <c r="G24">
        <v>0.17</v>
      </c>
      <c r="H24">
        <f>SUM(D24:D26)</f>
        <v>196561</v>
      </c>
      <c r="I24">
        <f t="shared" ref="I24:I32" si="3">D24*E24</f>
        <v>34949.636999999995</v>
      </c>
      <c r="J24">
        <f t="shared" ref="J24:J32" si="4">D24*F24</f>
        <v>65424.753000000004</v>
      </c>
      <c r="K24">
        <f t="shared" ref="K24:K32" si="5">D24*G24</f>
        <v>20558.61</v>
      </c>
      <c r="L24" s="5">
        <f>SUM(K24:K26)</f>
        <v>23375.753000000001</v>
      </c>
      <c r="M24" s="5">
        <f>H24-L24</f>
        <v>173185.247</v>
      </c>
      <c r="N24" s="5">
        <f>L24/H24</f>
        <v>0.11892365728705084</v>
      </c>
      <c r="O24" s="5">
        <f>H24-C24</f>
        <v>64491</v>
      </c>
      <c r="P24" s="5">
        <f>O24/H24</f>
        <v>0.32809662140506002</v>
      </c>
    </row>
    <row r="25" spans="1:17" x14ac:dyDescent="0.2">
      <c r="B25" t="s">
        <v>14</v>
      </c>
      <c r="D25">
        <v>61831</v>
      </c>
      <c r="E25">
        <v>0.57999999999999996</v>
      </c>
      <c r="F25">
        <v>0.376</v>
      </c>
      <c r="G25">
        <v>4.3999999999999997E-2</v>
      </c>
      <c r="I25">
        <f t="shared" si="3"/>
        <v>35861.979999999996</v>
      </c>
      <c r="J25">
        <f t="shared" si="4"/>
        <v>23248.455999999998</v>
      </c>
      <c r="K25">
        <f t="shared" si="5"/>
        <v>2720.5639999999999</v>
      </c>
      <c r="L25" s="5">
        <f>SUM(J24:K26)</f>
        <v>113304.48900000002</v>
      </c>
      <c r="M25" s="5">
        <f>H24-L25</f>
        <v>83256.510999999984</v>
      </c>
      <c r="N25" s="5">
        <f>M25/H24</f>
        <v>0.42356576838742166</v>
      </c>
      <c r="O25" s="5"/>
      <c r="P25" s="5"/>
    </row>
    <row r="26" spans="1:17" x14ac:dyDescent="0.2">
      <c r="B26" t="s">
        <v>15</v>
      </c>
      <c r="D26">
        <v>13797</v>
      </c>
      <c r="E26">
        <v>0.90200000000000002</v>
      </c>
      <c r="F26">
        <v>9.0999999999999998E-2</v>
      </c>
      <c r="G26">
        <v>7.0000000000000001E-3</v>
      </c>
      <c r="I26">
        <f t="shared" si="3"/>
        <v>12444.894</v>
      </c>
      <c r="J26">
        <f t="shared" si="4"/>
        <v>1255.527</v>
      </c>
      <c r="K26">
        <f t="shared" si="5"/>
        <v>96.579000000000008</v>
      </c>
      <c r="L26" s="5"/>
      <c r="M26" s="5"/>
      <c r="N26" s="5"/>
      <c r="O26" s="5"/>
      <c r="P26" s="5"/>
    </row>
    <row r="27" spans="1:17" x14ac:dyDescent="0.2">
      <c r="A27" t="s">
        <v>16</v>
      </c>
      <c r="B27" t="s">
        <v>13</v>
      </c>
      <c r="C27">
        <v>7692</v>
      </c>
      <c r="D27">
        <v>5613</v>
      </c>
      <c r="E27">
        <v>0.435</v>
      </c>
      <c r="F27">
        <v>0.42899999999999999</v>
      </c>
      <c r="G27">
        <v>0.13600000000000001</v>
      </c>
      <c r="H27">
        <f>SUM(D27:D29)</f>
        <v>11872</v>
      </c>
      <c r="I27">
        <f t="shared" si="3"/>
        <v>2441.6550000000002</v>
      </c>
      <c r="J27">
        <f t="shared" si="4"/>
        <v>2407.9769999999999</v>
      </c>
      <c r="K27">
        <f t="shared" si="5"/>
        <v>763.36800000000005</v>
      </c>
      <c r="L27" s="5">
        <f>SUM(K27:K29)</f>
        <v>959.96300000000008</v>
      </c>
      <c r="M27" s="5">
        <f>H27-L27</f>
        <v>10912.037</v>
      </c>
      <c r="N27" s="5">
        <f>L27/H27</f>
        <v>8.0859417115902971E-2</v>
      </c>
      <c r="O27" s="5">
        <f>H27-C27</f>
        <v>4180</v>
      </c>
      <c r="P27" s="5">
        <f>O27/H27</f>
        <v>0.35208894878706198</v>
      </c>
    </row>
    <row r="28" spans="1:17" x14ac:dyDescent="0.2">
      <c r="B28" t="s">
        <v>14</v>
      </c>
      <c r="D28">
        <v>3758</v>
      </c>
      <c r="E28">
        <v>0.55600000000000005</v>
      </c>
      <c r="F28">
        <v>0.40300000000000002</v>
      </c>
      <c r="G28">
        <v>4.1000000000000002E-2</v>
      </c>
      <c r="I28">
        <f t="shared" si="3"/>
        <v>2089.4480000000003</v>
      </c>
      <c r="J28">
        <f t="shared" si="4"/>
        <v>1514.4740000000002</v>
      </c>
      <c r="K28">
        <f t="shared" si="5"/>
        <v>154.078</v>
      </c>
      <c r="L28" s="5">
        <f>SUM(J27:K29)</f>
        <v>5610.2049999999999</v>
      </c>
      <c r="M28" s="5">
        <f>H27-L28</f>
        <v>6261.7950000000001</v>
      </c>
      <c r="N28" s="5">
        <f>M28/H27</f>
        <v>0.527442301212938</v>
      </c>
      <c r="O28" s="5"/>
      <c r="P28" s="5"/>
    </row>
    <row r="29" spans="1:17" x14ac:dyDescent="0.2">
      <c r="B29" t="s">
        <v>15</v>
      </c>
      <c r="D29">
        <v>2501</v>
      </c>
      <c r="E29">
        <v>0.69199999999999995</v>
      </c>
      <c r="F29">
        <v>0.29099999999999998</v>
      </c>
      <c r="G29">
        <v>1.7000000000000001E-2</v>
      </c>
      <c r="I29">
        <f t="shared" si="3"/>
        <v>1730.6919999999998</v>
      </c>
      <c r="J29">
        <f t="shared" si="4"/>
        <v>727.79099999999994</v>
      </c>
      <c r="K29">
        <f t="shared" si="5"/>
        <v>42.517000000000003</v>
      </c>
      <c r="L29" s="5"/>
      <c r="M29" s="5"/>
      <c r="N29" s="5"/>
      <c r="O29" s="5"/>
      <c r="P29" s="5"/>
    </row>
    <row r="30" spans="1:17" x14ac:dyDescent="0.2">
      <c r="A30" t="s">
        <v>17</v>
      </c>
      <c r="B30" t="s">
        <v>13</v>
      </c>
      <c r="C30">
        <v>30982</v>
      </c>
      <c r="D30">
        <v>26269</v>
      </c>
      <c r="E30">
        <v>0.34799999999999998</v>
      </c>
      <c r="F30">
        <v>0.49199999999999999</v>
      </c>
      <c r="G30">
        <v>0.16</v>
      </c>
      <c r="H30">
        <f>SUM(D30:D32)</f>
        <v>48062</v>
      </c>
      <c r="I30">
        <f t="shared" si="3"/>
        <v>9141.6119999999992</v>
      </c>
      <c r="J30">
        <f t="shared" si="4"/>
        <v>12924.348</v>
      </c>
      <c r="K30">
        <f t="shared" si="5"/>
        <v>4203.04</v>
      </c>
      <c r="L30" s="5">
        <f>SUM(K30:K32)</f>
        <v>5069.2469999999994</v>
      </c>
      <c r="M30" s="5">
        <f>H30-L30</f>
        <v>42992.752999999997</v>
      </c>
      <c r="N30" s="5">
        <f>L30/H30</f>
        <v>0.10547307644292787</v>
      </c>
      <c r="O30" s="5">
        <f>H30-C30</f>
        <v>17080</v>
      </c>
      <c r="P30" s="5">
        <f>O30/H30</f>
        <v>0.35537430818526072</v>
      </c>
    </row>
    <row r="31" spans="1:17" x14ac:dyDescent="0.2">
      <c r="B31" t="s">
        <v>14</v>
      </c>
      <c r="D31">
        <v>15754</v>
      </c>
      <c r="E31">
        <v>0.54600000000000004</v>
      </c>
      <c r="F31">
        <v>0.40400000000000003</v>
      </c>
      <c r="G31">
        <v>0.05</v>
      </c>
      <c r="I31">
        <f t="shared" si="3"/>
        <v>8601.6840000000011</v>
      </c>
      <c r="J31">
        <f t="shared" si="4"/>
        <v>6364.616</v>
      </c>
      <c r="K31">
        <f t="shared" si="5"/>
        <v>787.7</v>
      </c>
      <c r="L31" s="5">
        <f>SUM(J30:K32)</f>
        <v>25378.802000000003</v>
      </c>
      <c r="M31" s="5">
        <f>H30-L31</f>
        <v>22683.197999999997</v>
      </c>
      <c r="N31" s="5">
        <f>M31/H30</f>
        <v>0.47195701385710115</v>
      </c>
      <c r="O31" s="5"/>
      <c r="P31" s="6"/>
    </row>
    <row r="32" spans="1:17" x14ac:dyDescent="0.2">
      <c r="B32" t="s">
        <v>15</v>
      </c>
      <c r="D32">
        <v>6039</v>
      </c>
      <c r="E32">
        <v>0.81799999999999995</v>
      </c>
      <c r="F32">
        <v>0.16900000000000001</v>
      </c>
      <c r="G32">
        <v>1.2999999999999999E-2</v>
      </c>
      <c r="I32">
        <f t="shared" si="3"/>
        <v>4939.902</v>
      </c>
      <c r="J32">
        <f t="shared" si="4"/>
        <v>1020.5910000000001</v>
      </c>
      <c r="K32">
        <f t="shared" si="5"/>
        <v>78.506999999999991</v>
      </c>
      <c r="L32" s="5"/>
      <c r="M32" s="5"/>
      <c r="N32" s="5"/>
      <c r="O32" s="5"/>
      <c r="P32" s="6"/>
    </row>
    <row r="33" spans="2:16" x14ac:dyDescent="0.2">
      <c r="C33" t="s">
        <v>18</v>
      </c>
      <c r="H33" t="s">
        <v>19</v>
      </c>
      <c r="L33" s="5">
        <f>SUM(L24+L27+L30)</f>
        <v>29404.963</v>
      </c>
      <c r="M33" s="5">
        <f>M24+M27+M30</f>
        <v>227090.03700000001</v>
      </c>
      <c r="N33" s="5">
        <f>L33/H34</f>
        <v>0.11464146669525721</v>
      </c>
      <c r="O33">
        <f>H34-C34</f>
        <v>85751</v>
      </c>
      <c r="P33" s="2">
        <f>O33/H34</f>
        <v>0.33431840776623328</v>
      </c>
    </row>
    <row r="34" spans="2:16" ht="32" x14ac:dyDescent="0.2">
      <c r="C34">
        <f>SUM(C24:C32)</f>
        <v>170744</v>
      </c>
      <c r="H34">
        <f>SUM(H24:H32)</f>
        <v>256495</v>
      </c>
      <c r="M34" s="4" t="s">
        <v>24</v>
      </c>
      <c r="N34" s="4" t="s">
        <v>25</v>
      </c>
      <c r="O34" s="4" t="s">
        <v>26</v>
      </c>
      <c r="P34" s="4" t="s">
        <v>27</v>
      </c>
    </row>
    <row r="35" spans="2:16" x14ac:dyDescent="0.2">
      <c r="M35">
        <f>C34+'MarketScan Commercial CCAE'!C25</f>
        <v>239812</v>
      </c>
      <c r="N35">
        <f>H34+'MarketScan Commercial CCAE'!H25</f>
        <v>363833</v>
      </c>
      <c r="O35">
        <f>N35-M35</f>
        <v>124021</v>
      </c>
      <c r="P35" s="2">
        <f>O35/N35</f>
        <v>0.34087342269667675</v>
      </c>
    </row>
    <row r="37" spans="2:16" x14ac:dyDescent="0.2">
      <c r="C37" s="3" t="s">
        <v>28</v>
      </c>
      <c r="D37" s="3"/>
      <c r="E37" s="3"/>
      <c r="H37">
        <f>D24*C42</f>
        <v>107630.37</v>
      </c>
      <c r="I37">
        <f>SUM(H37:H39)</f>
        <v>141336.91</v>
      </c>
    </row>
    <row r="38" spans="2:16" x14ac:dyDescent="0.2">
      <c r="B38" t="s">
        <v>29</v>
      </c>
      <c r="C38" t="s">
        <v>13</v>
      </c>
      <c r="D38" t="s">
        <v>14</v>
      </c>
      <c r="E38" t="s">
        <v>15</v>
      </c>
      <c r="H38">
        <f>D25*D42</f>
        <v>29678.879999999997</v>
      </c>
    </row>
    <row r="39" spans="2:16" x14ac:dyDescent="0.2">
      <c r="B39" t="s">
        <v>30</v>
      </c>
      <c r="C39">
        <v>0.9</v>
      </c>
      <c r="D39">
        <v>0.52</v>
      </c>
      <c r="E39">
        <v>0.22</v>
      </c>
      <c r="H39">
        <f>C30*E42</f>
        <v>4027.6600000000003</v>
      </c>
    </row>
    <row r="40" spans="2:16" x14ac:dyDescent="0.2">
      <c r="B40" t="s">
        <v>31</v>
      </c>
      <c r="C40" s="1">
        <v>0.68</v>
      </c>
      <c r="D40" s="1">
        <v>0.45</v>
      </c>
      <c r="E40" s="1">
        <v>0.2</v>
      </c>
    </row>
    <row r="41" spans="2:16" x14ac:dyDescent="0.2">
      <c r="B41" t="s">
        <v>32</v>
      </c>
      <c r="C41" t="s">
        <v>33</v>
      </c>
    </row>
    <row r="42" spans="2:16" x14ac:dyDescent="0.2">
      <c r="B42" t="s">
        <v>30</v>
      </c>
      <c r="C42">
        <v>0.89</v>
      </c>
      <c r="D42">
        <v>0.48</v>
      </c>
      <c r="E42">
        <v>0.13</v>
      </c>
    </row>
    <row r="43" spans="2:16" x14ac:dyDescent="0.2">
      <c r="B43" t="s">
        <v>31</v>
      </c>
      <c r="C43" s="1">
        <v>0.69</v>
      </c>
      <c r="D43" s="1">
        <v>0.43</v>
      </c>
      <c r="E43" s="1">
        <v>0.12</v>
      </c>
    </row>
    <row r="44" spans="2:16" x14ac:dyDescent="0.2">
      <c r="C44" t="s">
        <v>34</v>
      </c>
    </row>
  </sheetData>
  <mergeCells count="6">
    <mergeCell ref="A23:B23"/>
    <mergeCell ref="B2:P2"/>
    <mergeCell ref="I9:K9"/>
    <mergeCell ref="E9:G9"/>
    <mergeCell ref="C7:G7"/>
    <mergeCell ref="A8:B8"/>
  </mergeCells>
  <hyperlinks>
    <hyperlink ref="B2:P2" r:id="rId1" display="INFORMATION FROM THIS WORKBOOK SOURCE FROM GANTENBERG ET. ALL REGARDING HEALTHCARE UTILIZATION DURING ACUTE MA EPISODES OF RSV-LRTI AMONG INFANTS IN UNITED STATES - TABLE 2" xr:uid="{68972C1E-92F2-3243-8245-6BF265D225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2BB4-3B6D-4131-BBB9-415CAAB22E12}">
  <dimension ref="A1:P25"/>
  <sheetViews>
    <sheetView workbookViewId="0">
      <selection activeCell="H2" sqref="H2:K3"/>
    </sheetView>
  </sheetViews>
  <sheetFormatPr baseColWidth="10" defaultColWidth="8.83203125" defaultRowHeight="15" x14ac:dyDescent="0.2"/>
  <sheetData>
    <row r="1" spans="1:16" x14ac:dyDescent="0.2">
      <c r="C1" s="8" t="s">
        <v>35</v>
      </c>
      <c r="D1" s="8"/>
      <c r="E1" s="8"/>
      <c r="F1" s="8"/>
      <c r="G1" s="8"/>
    </row>
    <row r="2" spans="1:16" x14ac:dyDescent="0.2">
      <c r="A2" s="8" t="s">
        <v>1</v>
      </c>
      <c r="B2" s="8"/>
      <c r="C2" t="s">
        <v>2</v>
      </c>
      <c r="D2" t="s">
        <v>3</v>
      </c>
      <c r="E2">
        <v>0</v>
      </c>
      <c r="F2">
        <v>1</v>
      </c>
      <c r="G2">
        <v>2</v>
      </c>
      <c r="H2" t="s">
        <v>4</v>
      </c>
      <c r="I2">
        <v>0</v>
      </c>
      <c r="J2">
        <v>1</v>
      </c>
      <c r="K2">
        <v>2</v>
      </c>
    </row>
    <row r="3" spans="1:16" x14ac:dyDescent="0.2">
      <c r="E3" s="8" t="s">
        <v>5</v>
      </c>
      <c r="F3" s="8"/>
      <c r="G3" s="8"/>
      <c r="I3" s="8" t="s">
        <v>6</v>
      </c>
      <c r="J3" s="8"/>
      <c r="K3" s="8"/>
      <c r="L3" t="s">
        <v>7</v>
      </c>
      <c r="M3" t="s">
        <v>8</v>
      </c>
      <c r="N3" t="s">
        <v>23</v>
      </c>
      <c r="O3" t="s">
        <v>36</v>
      </c>
      <c r="P3" t="s">
        <v>11</v>
      </c>
    </row>
    <row r="4" spans="1:16" x14ac:dyDescent="0.2">
      <c r="A4" t="s">
        <v>12</v>
      </c>
      <c r="B4" t="s">
        <v>13</v>
      </c>
      <c r="C4">
        <v>19496</v>
      </c>
      <c r="D4">
        <v>21865</v>
      </c>
      <c r="E4">
        <v>0.182</v>
      </c>
      <c r="F4">
        <v>0.57399999999999995</v>
      </c>
      <c r="G4">
        <v>0.24399999999999999</v>
      </c>
      <c r="H4">
        <f>SUM(D4:D6)</f>
        <v>32803</v>
      </c>
      <c r="I4">
        <f>D4*E4</f>
        <v>3979.43</v>
      </c>
      <c r="J4">
        <f>D4*F4</f>
        <v>12550.509999999998</v>
      </c>
      <c r="K4">
        <f>D4*G4</f>
        <v>5335.0599999999995</v>
      </c>
      <c r="L4" s="5">
        <f>SUM(K4:K6)</f>
        <v>5608.3939999999993</v>
      </c>
      <c r="M4" s="5">
        <f>H4-L4</f>
        <v>27194.606</v>
      </c>
      <c r="N4" s="5">
        <f>L4/H4</f>
        <v>0.1709719842697314</v>
      </c>
      <c r="O4" s="5">
        <f>H4-C4</f>
        <v>13307</v>
      </c>
      <c r="P4" s="5">
        <f>O4/H4</f>
        <v>0.40566411608694325</v>
      </c>
    </row>
    <row r="5" spans="1:16" x14ac:dyDescent="0.2">
      <c r="B5" t="s">
        <v>14</v>
      </c>
      <c r="D5">
        <v>6829</v>
      </c>
      <c r="E5">
        <v>0.68300000000000005</v>
      </c>
      <c r="F5">
        <v>0.28499999999999998</v>
      </c>
      <c r="G5">
        <v>3.1E-2</v>
      </c>
      <c r="I5">
        <f>D5*E5</f>
        <v>4664.2070000000003</v>
      </c>
      <c r="J5">
        <f t="shared" ref="J5:J12" si="0">D5*F5</f>
        <v>1946.2649999999999</v>
      </c>
      <c r="K5">
        <f t="shared" ref="K5:K12" si="1">D5*G5</f>
        <v>211.69900000000001</v>
      </c>
      <c r="L5" s="5"/>
      <c r="M5" s="5"/>
      <c r="N5" s="5"/>
      <c r="O5" s="5"/>
      <c r="P5" s="5"/>
    </row>
    <row r="6" spans="1:16" x14ac:dyDescent="0.2">
      <c r="B6" t="s">
        <v>15</v>
      </c>
      <c r="D6">
        <v>4109</v>
      </c>
      <c r="E6">
        <v>0.80500000000000005</v>
      </c>
      <c r="F6">
        <v>0.18</v>
      </c>
      <c r="G6">
        <v>1.4999999999999999E-2</v>
      </c>
      <c r="I6">
        <f t="shared" ref="I6:I12" si="2">D6*E6</f>
        <v>3307.7450000000003</v>
      </c>
      <c r="J6">
        <f t="shared" si="0"/>
        <v>739.62</v>
      </c>
      <c r="K6">
        <f t="shared" si="1"/>
        <v>61.634999999999998</v>
      </c>
      <c r="L6" s="5"/>
      <c r="M6" s="5"/>
      <c r="N6" s="5"/>
      <c r="O6" s="5"/>
      <c r="P6" s="5"/>
    </row>
    <row r="7" spans="1:16" x14ac:dyDescent="0.2">
      <c r="A7" t="s">
        <v>16</v>
      </c>
      <c r="B7" t="s">
        <v>13</v>
      </c>
      <c r="C7">
        <v>978</v>
      </c>
      <c r="D7">
        <v>992</v>
      </c>
      <c r="E7">
        <v>0.25900000000000001</v>
      </c>
      <c r="F7">
        <v>0.51500000000000001</v>
      </c>
      <c r="G7">
        <v>0.22600000000000001</v>
      </c>
      <c r="H7">
        <f>SUM(D7:D9)</f>
        <v>1716</v>
      </c>
      <c r="I7">
        <f t="shared" si="2"/>
        <v>256.928</v>
      </c>
      <c r="J7">
        <f t="shared" si="0"/>
        <v>510.88</v>
      </c>
      <c r="K7">
        <f t="shared" si="1"/>
        <v>224.19200000000001</v>
      </c>
      <c r="L7" s="5">
        <f>SUM(K6:K8)</f>
        <v>298.71300000000002</v>
      </c>
      <c r="M7" s="5">
        <f>H7-L7</f>
        <v>1417.287</v>
      </c>
      <c r="N7" s="5">
        <f>L7/H7</f>
        <v>0.17407517482517484</v>
      </c>
      <c r="O7" s="5">
        <f>H7-C7</f>
        <v>738</v>
      </c>
      <c r="P7" s="5">
        <f>O7/H7</f>
        <v>0.43006993006993005</v>
      </c>
    </row>
    <row r="8" spans="1:16" x14ac:dyDescent="0.2">
      <c r="B8" t="s">
        <v>14</v>
      </c>
      <c r="D8">
        <v>379</v>
      </c>
      <c r="E8">
        <v>0.65</v>
      </c>
      <c r="F8">
        <v>0.316</v>
      </c>
      <c r="G8">
        <v>3.4000000000000002E-2</v>
      </c>
      <c r="I8">
        <f t="shared" si="2"/>
        <v>246.35</v>
      </c>
      <c r="J8">
        <f t="shared" si="0"/>
        <v>119.764</v>
      </c>
      <c r="K8">
        <f t="shared" si="1"/>
        <v>12.886000000000001</v>
      </c>
      <c r="L8" s="5"/>
      <c r="M8" s="5"/>
      <c r="N8" s="5"/>
      <c r="O8" s="5"/>
      <c r="P8" s="5"/>
    </row>
    <row r="9" spans="1:16" x14ac:dyDescent="0.2">
      <c r="B9" t="s">
        <v>15</v>
      </c>
      <c r="D9">
        <v>345</v>
      </c>
      <c r="E9">
        <v>0.67100000000000004</v>
      </c>
      <c r="F9">
        <v>0.30599999999999999</v>
      </c>
      <c r="G9">
        <v>2.4E-2</v>
      </c>
      <c r="I9">
        <f t="shared" si="2"/>
        <v>231.495</v>
      </c>
      <c r="J9">
        <f t="shared" si="0"/>
        <v>105.57</v>
      </c>
      <c r="K9">
        <f t="shared" si="1"/>
        <v>8.2799999999999994</v>
      </c>
      <c r="L9" s="5"/>
      <c r="M9" s="5"/>
      <c r="N9" s="5"/>
      <c r="O9" s="5"/>
      <c r="P9" s="5"/>
    </row>
    <row r="10" spans="1:16" x14ac:dyDescent="0.2">
      <c r="A10" t="s">
        <v>17</v>
      </c>
      <c r="B10" t="s">
        <v>13</v>
      </c>
      <c r="C10">
        <v>4935</v>
      </c>
      <c r="D10">
        <v>5295</v>
      </c>
      <c r="E10">
        <v>0.23699999999999999</v>
      </c>
      <c r="F10">
        <v>0.51800000000000002</v>
      </c>
      <c r="G10">
        <v>0.245</v>
      </c>
      <c r="H10">
        <f>SUM(D10:D12)</f>
        <v>8782</v>
      </c>
      <c r="I10">
        <f t="shared" si="2"/>
        <v>1254.915</v>
      </c>
      <c r="J10">
        <f t="shared" si="0"/>
        <v>2742.81</v>
      </c>
      <c r="K10">
        <f t="shared" si="1"/>
        <v>1297.2749999999999</v>
      </c>
      <c r="L10" s="5">
        <f>SUM(K10:K12)</f>
        <v>1409.519</v>
      </c>
      <c r="M10" s="5">
        <f>H10-L10</f>
        <v>7372.4809999999998</v>
      </c>
      <c r="N10" s="5">
        <f>L10/H10</f>
        <v>0.16050091095422456</v>
      </c>
      <c r="O10" s="5">
        <f>H10-C10</f>
        <v>3847</v>
      </c>
      <c r="P10" s="5">
        <f>O10/H10</f>
        <v>0.43805511273058528</v>
      </c>
    </row>
    <row r="11" spans="1:16" x14ac:dyDescent="0.2">
      <c r="B11" t="s">
        <v>14</v>
      </c>
      <c r="D11">
        <v>1962</v>
      </c>
      <c r="E11">
        <v>0.64200000000000002</v>
      </c>
      <c r="F11">
        <v>0.32100000000000001</v>
      </c>
      <c r="G11">
        <v>3.6999999999999998E-2</v>
      </c>
      <c r="I11">
        <f t="shared" si="2"/>
        <v>1259.604</v>
      </c>
      <c r="J11">
        <f t="shared" si="0"/>
        <v>629.80200000000002</v>
      </c>
      <c r="K11">
        <f t="shared" si="1"/>
        <v>72.593999999999994</v>
      </c>
      <c r="L11" s="5"/>
      <c r="M11" s="5"/>
      <c r="N11" s="5"/>
      <c r="O11" s="5"/>
      <c r="P11" s="5"/>
    </row>
    <row r="12" spans="1:16" x14ac:dyDescent="0.2">
      <c r="B12" t="s">
        <v>15</v>
      </c>
      <c r="D12">
        <v>1525</v>
      </c>
      <c r="E12">
        <v>0.71799999999999997</v>
      </c>
      <c r="F12">
        <v>0.25600000000000001</v>
      </c>
      <c r="G12">
        <v>2.5999999999999999E-2</v>
      </c>
      <c r="I12">
        <f t="shared" si="2"/>
        <v>1094.95</v>
      </c>
      <c r="J12">
        <f t="shared" si="0"/>
        <v>390.40000000000003</v>
      </c>
      <c r="K12">
        <f t="shared" si="1"/>
        <v>39.65</v>
      </c>
      <c r="L12" s="5"/>
      <c r="M12" s="5"/>
      <c r="N12" s="5"/>
      <c r="O12" s="5"/>
      <c r="P12" s="5"/>
    </row>
    <row r="13" spans="1:16" x14ac:dyDescent="0.2">
      <c r="C13">
        <f>SUM(C4:C12)</f>
        <v>25409</v>
      </c>
      <c r="H13">
        <f>SUM(H4:H12)</f>
        <v>43301</v>
      </c>
      <c r="L13" s="5">
        <f>SUM(L4+L7+L10)</f>
        <v>7316.6259999999993</v>
      </c>
      <c r="M13" s="5">
        <f>SUM(M4+M7+M10)</f>
        <v>35984.373999999996</v>
      </c>
      <c r="N13" s="5">
        <f>L13/H13</f>
        <v>0.16897129396549732</v>
      </c>
      <c r="O13">
        <f>H13-C13</f>
        <v>17892</v>
      </c>
      <c r="P13">
        <f>O13/H13</f>
        <v>0.41320061892335053</v>
      </c>
    </row>
    <row r="15" spans="1:16" x14ac:dyDescent="0.2">
      <c r="A15" s="8" t="s">
        <v>22</v>
      </c>
      <c r="B15" s="8"/>
      <c r="L15" t="s">
        <v>7</v>
      </c>
      <c r="M15" t="s">
        <v>8</v>
      </c>
      <c r="N15" t="s">
        <v>23</v>
      </c>
    </row>
    <row r="16" spans="1:16" x14ac:dyDescent="0.2">
      <c r="A16" t="s">
        <v>12</v>
      </c>
      <c r="B16" t="s">
        <v>13</v>
      </c>
      <c r="C16">
        <v>53099</v>
      </c>
      <c r="D16">
        <v>63580</v>
      </c>
      <c r="E16">
        <v>9.8000000000000004E-2</v>
      </c>
      <c r="F16">
        <v>0.66200000000000003</v>
      </c>
      <c r="G16">
        <v>0.24</v>
      </c>
      <c r="H16">
        <f>SUM(D16:D18)</f>
        <v>81334</v>
      </c>
      <c r="I16">
        <f t="shared" ref="I16:I24" si="3">D16*E16</f>
        <v>6230.84</v>
      </c>
      <c r="J16">
        <f t="shared" ref="J16:J24" si="4">D16*F16</f>
        <v>42089.96</v>
      </c>
      <c r="K16">
        <f t="shared" ref="K16:K24" si="5">D16*G16</f>
        <v>15259.199999999999</v>
      </c>
      <c r="L16" s="5">
        <f>SUM(K16:K18)</f>
        <v>15544.677999999998</v>
      </c>
      <c r="M16" s="5">
        <f>H16-L16</f>
        <v>65789.322</v>
      </c>
      <c r="N16" s="5">
        <f>L16/H16</f>
        <v>0.19112152359406887</v>
      </c>
      <c r="O16" s="5">
        <f>H16-C16</f>
        <v>28235</v>
      </c>
      <c r="P16" s="5">
        <f>O16/H16</f>
        <v>0.34714879386234537</v>
      </c>
    </row>
    <row r="17" spans="1:16" x14ac:dyDescent="0.2">
      <c r="B17" t="s">
        <v>14</v>
      </c>
      <c r="D17">
        <v>12400</v>
      </c>
      <c r="E17">
        <v>0.78800000000000003</v>
      </c>
      <c r="F17">
        <v>0.192</v>
      </c>
      <c r="G17">
        <v>0.02</v>
      </c>
      <c r="I17">
        <f t="shared" si="3"/>
        <v>9771.2000000000007</v>
      </c>
      <c r="J17">
        <f t="shared" si="4"/>
        <v>2380.8000000000002</v>
      </c>
      <c r="K17">
        <f t="shared" si="5"/>
        <v>248</v>
      </c>
      <c r="L17" s="5"/>
      <c r="M17" s="5"/>
      <c r="N17" s="5"/>
      <c r="O17" s="5"/>
      <c r="P17" s="5"/>
    </row>
    <row r="18" spans="1:16" x14ac:dyDescent="0.2">
      <c r="B18" t="s">
        <v>15</v>
      </c>
      <c r="D18">
        <v>5354</v>
      </c>
      <c r="E18">
        <v>0.90600000000000003</v>
      </c>
      <c r="F18">
        <v>8.6999999999999994E-2</v>
      </c>
      <c r="G18">
        <v>7.0000000000000001E-3</v>
      </c>
      <c r="I18">
        <f t="shared" si="3"/>
        <v>4850.7240000000002</v>
      </c>
      <c r="J18">
        <f t="shared" si="4"/>
        <v>465.79799999999994</v>
      </c>
      <c r="K18">
        <f t="shared" si="5"/>
        <v>37.478000000000002</v>
      </c>
      <c r="L18" s="5"/>
      <c r="M18" s="5"/>
      <c r="N18" s="5"/>
      <c r="O18" s="5"/>
      <c r="P18" s="5"/>
    </row>
    <row r="19" spans="1:16" x14ac:dyDescent="0.2">
      <c r="A19" t="s">
        <v>16</v>
      </c>
      <c r="B19" t="s">
        <v>13</v>
      </c>
      <c r="C19">
        <v>2853</v>
      </c>
      <c r="D19">
        <v>2998</v>
      </c>
      <c r="E19">
        <v>0.23899999999999999</v>
      </c>
      <c r="F19">
        <v>0.53</v>
      </c>
      <c r="G19">
        <v>0.23100000000000001</v>
      </c>
      <c r="H19">
        <f>SUM(D19:D21)</f>
        <v>4663</v>
      </c>
      <c r="I19">
        <f t="shared" si="3"/>
        <v>716.52199999999993</v>
      </c>
      <c r="J19">
        <f t="shared" si="4"/>
        <v>1588.94</v>
      </c>
      <c r="K19">
        <f t="shared" si="5"/>
        <v>692.53800000000001</v>
      </c>
      <c r="L19" s="5">
        <f>SUM(K19:K21)</f>
        <v>724.36799999999994</v>
      </c>
      <c r="M19" s="5">
        <f>H19-L19</f>
        <v>3938.6320000000001</v>
      </c>
      <c r="N19" s="5">
        <f>L19/H19</f>
        <v>0.15534377010508255</v>
      </c>
      <c r="O19" s="5">
        <f>H19-C19</f>
        <v>1810</v>
      </c>
      <c r="P19" s="5">
        <f>O19/H19</f>
        <v>0.38816212738580314</v>
      </c>
    </row>
    <row r="20" spans="1:16" x14ac:dyDescent="0.2">
      <c r="B20" t="s">
        <v>14</v>
      </c>
      <c r="D20">
        <v>865</v>
      </c>
      <c r="E20">
        <v>0.72099999999999997</v>
      </c>
      <c r="F20">
        <v>0.25700000000000001</v>
      </c>
      <c r="G20">
        <v>2.1999999999999999E-2</v>
      </c>
      <c r="I20">
        <f t="shared" si="3"/>
        <v>623.66499999999996</v>
      </c>
      <c r="J20">
        <f t="shared" si="4"/>
        <v>222.30500000000001</v>
      </c>
      <c r="K20">
        <f t="shared" si="5"/>
        <v>19.029999999999998</v>
      </c>
      <c r="L20" s="5"/>
      <c r="M20" s="5"/>
      <c r="N20" s="5"/>
      <c r="O20" s="5"/>
      <c r="P20" s="5"/>
    </row>
    <row r="21" spans="1:16" x14ac:dyDescent="0.2">
      <c r="B21" t="s">
        <v>15</v>
      </c>
      <c r="D21">
        <v>800</v>
      </c>
      <c r="E21">
        <v>0.73499999999999999</v>
      </c>
      <c r="F21">
        <v>0.249</v>
      </c>
      <c r="G21">
        <v>1.6E-2</v>
      </c>
      <c r="I21">
        <f t="shared" si="3"/>
        <v>588</v>
      </c>
      <c r="J21">
        <f t="shared" si="4"/>
        <v>199.2</v>
      </c>
      <c r="K21">
        <f t="shared" si="5"/>
        <v>12.8</v>
      </c>
      <c r="L21" s="5"/>
      <c r="M21" s="5"/>
      <c r="N21" s="5"/>
      <c r="O21" s="5"/>
      <c r="P21" s="5"/>
    </row>
    <row r="22" spans="1:16" x14ac:dyDescent="0.2">
      <c r="A22" t="s">
        <v>17</v>
      </c>
      <c r="B22" t="s">
        <v>13</v>
      </c>
      <c r="C22">
        <v>13116</v>
      </c>
      <c r="D22">
        <v>15549</v>
      </c>
      <c r="E22">
        <v>0.13900000000000001</v>
      </c>
      <c r="F22">
        <v>0.60199999999999998</v>
      </c>
      <c r="G22">
        <v>0.25900000000000001</v>
      </c>
      <c r="H22">
        <f>SUM(D22:D24)</f>
        <v>21341</v>
      </c>
      <c r="I22">
        <f t="shared" si="3"/>
        <v>2161.3110000000001</v>
      </c>
      <c r="J22">
        <f t="shared" si="4"/>
        <v>9360.4979999999996</v>
      </c>
      <c r="K22">
        <f t="shared" si="5"/>
        <v>4027.1910000000003</v>
      </c>
      <c r="L22" s="5">
        <f>SUM(K22:K24)</f>
        <v>4143.4040000000005</v>
      </c>
      <c r="M22" s="5">
        <f>H22-L22</f>
        <v>17197.595999999998</v>
      </c>
      <c r="N22" s="5">
        <f>L22/H22</f>
        <v>0.19415228902113305</v>
      </c>
      <c r="O22" s="5">
        <f>H22-C22</f>
        <v>8225</v>
      </c>
      <c r="P22" s="5">
        <f>O22/H22</f>
        <v>0.38540836886743829</v>
      </c>
    </row>
    <row r="23" spans="1:16" x14ac:dyDescent="0.2">
      <c r="B23" t="s">
        <v>14</v>
      </c>
      <c r="D23">
        <v>3593</v>
      </c>
      <c r="E23">
        <v>0.753</v>
      </c>
      <c r="F23">
        <v>0.222</v>
      </c>
      <c r="G23">
        <v>2.5000000000000001E-2</v>
      </c>
      <c r="I23">
        <f t="shared" si="3"/>
        <v>2705.529</v>
      </c>
      <c r="J23">
        <f t="shared" si="4"/>
        <v>797.64599999999996</v>
      </c>
      <c r="K23">
        <f t="shared" si="5"/>
        <v>89.825000000000003</v>
      </c>
      <c r="L23" s="5"/>
      <c r="M23" s="5"/>
      <c r="N23" s="5"/>
      <c r="O23" s="5"/>
      <c r="P23" s="5"/>
    </row>
    <row r="24" spans="1:16" x14ac:dyDescent="0.2">
      <c r="B24" t="s">
        <v>15</v>
      </c>
      <c r="D24">
        <v>2199</v>
      </c>
      <c r="E24">
        <v>0.84399999999999997</v>
      </c>
      <c r="F24">
        <v>0.14399999999999999</v>
      </c>
      <c r="G24">
        <v>1.2E-2</v>
      </c>
      <c r="I24">
        <f t="shared" si="3"/>
        <v>1855.9559999999999</v>
      </c>
      <c r="J24">
        <f t="shared" si="4"/>
        <v>316.65599999999995</v>
      </c>
      <c r="K24">
        <f t="shared" si="5"/>
        <v>26.388000000000002</v>
      </c>
      <c r="L24" s="5"/>
      <c r="M24" s="5"/>
      <c r="N24" s="5"/>
      <c r="O24" s="5"/>
      <c r="P24" s="5"/>
    </row>
    <row r="25" spans="1:16" x14ac:dyDescent="0.2">
      <c r="C25">
        <f>SUM(C16:C24)</f>
        <v>69068</v>
      </c>
      <c r="H25">
        <f>SUM(H16:H24)</f>
        <v>107338</v>
      </c>
      <c r="L25" s="5">
        <f>SUM(L16+L19+L22)</f>
        <v>20412.449999999997</v>
      </c>
      <c r="M25" s="5">
        <f>M16+M19+M22</f>
        <v>86925.549999999988</v>
      </c>
      <c r="N25" s="5">
        <f>L25/H25</f>
        <v>0.19016983733626486</v>
      </c>
      <c r="O25">
        <f>H25-C25</f>
        <v>38270</v>
      </c>
      <c r="P25" s="2">
        <f>O25/H25</f>
        <v>0.35653729340960333</v>
      </c>
    </row>
  </sheetData>
  <mergeCells count="5">
    <mergeCell ref="C1:G1"/>
    <mergeCell ref="A2:B2"/>
    <mergeCell ref="E3:G3"/>
    <mergeCell ref="I3:K3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EAA9-9CA9-41DA-B88F-25B9D0C018FC}">
  <dimension ref="C6:R30"/>
  <sheetViews>
    <sheetView topLeftCell="K16" workbookViewId="0">
      <selection activeCell="N30" sqref="N30:P30"/>
    </sheetView>
  </sheetViews>
  <sheetFormatPr baseColWidth="10" defaultColWidth="8.83203125" defaultRowHeight="15" x14ac:dyDescent="0.2"/>
  <sheetData>
    <row r="6" spans="3:18" x14ac:dyDescent="0.2">
      <c r="E6" s="8" t="s">
        <v>37</v>
      </c>
      <c r="F6" s="8"/>
      <c r="G6" s="8"/>
      <c r="H6" s="8"/>
      <c r="I6" s="8"/>
    </row>
    <row r="7" spans="3:18" x14ac:dyDescent="0.2">
      <c r="C7" s="8" t="s">
        <v>1</v>
      </c>
      <c r="D7" s="8"/>
      <c r="E7" t="s">
        <v>2</v>
      </c>
      <c r="F7" t="s">
        <v>3</v>
      </c>
      <c r="G7">
        <v>0</v>
      </c>
      <c r="H7">
        <v>1</v>
      </c>
      <c r="I7">
        <v>2</v>
      </c>
      <c r="J7" t="s">
        <v>4</v>
      </c>
      <c r="K7">
        <v>0</v>
      </c>
      <c r="L7">
        <v>1</v>
      </c>
      <c r="M7">
        <v>2</v>
      </c>
    </row>
    <row r="8" spans="3:18" x14ac:dyDescent="0.2">
      <c r="G8" s="8" t="s">
        <v>5</v>
      </c>
      <c r="H8" s="8"/>
      <c r="I8" s="8"/>
      <c r="K8" s="8" t="s">
        <v>6</v>
      </c>
      <c r="L8" s="8"/>
      <c r="M8" s="8"/>
      <c r="N8" t="s">
        <v>7</v>
      </c>
      <c r="O8" t="s">
        <v>8</v>
      </c>
      <c r="P8" t="s">
        <v>23</v>
      </c>
      <c r="Q8" t="s">
        <v>36</v>
      </c>
      <c r="R8" t="s">
        <v>11</v>
      </c>
    </row>
    <row r="9" spans="3:18" x14ac:dyDescent="0.2">
      <c r="C9" t="s">
        <v>12</v>
      </c>
      <c r="D9" t="s">
        <v>13</v>
      </c>
      <c r="E9">
        <v>9850</v>
      </c>
      <c r="F9">
        <v>15472</v>
      </c>
      <c r="G9">
        <v>4.8000000000000001E-2</v>
      </c>
      <c r="H9">
        <v>0.51400000000000001</v>
      </c>
      <c r="I9">
        <v>0.438</v>
      </c>
      <c r="J9">
        <f>SUM(F9:F11)</f>
        <v>21372</v>
      </c>
      <c r="K9">
        <f>F9*G9</f>
        <v>742.65600000000006</v>
      </c>
      <c r="L9">
        <f>F9*H9</f>
        <v>7952.6080000000002</v>
      </c>
      <c r="M9">
        <f>F9*I9</f>
        <v>6776.7359999999999</v>
      </c>
      <c r="N9" s="5">
        <f>SUM(M9:M11)</f>
        <v>6911.0199999999995</v>
      </c>
      <c r="O9" s="5">
        <f>J9-N9</f>
        <v>14460.98</v>
      </c>
      <c r="P9" s="5">
        <f>N9/J9</f>
        <v>0.32336795807598723</v>
      </c>
      <c r="Q9" s="5">
        <f>J9-E9</f>
        <v>11522</v>
      </c>
      <c r="R9" s="5">
        <f>Q9/J9</f>
        <v>0.53911660116039684</v>
      </c>
    </row>
    <row r="10" spans="3:18" x14ac:dyDescent="0.2">
      <c r="D10" t="s">
        <v>14</v>
      </c>
      <c r="F10">
        <v>3776</v>
      </c>
      <c r="G10">
        <v>0.65500000000000003</v>
      </c>
      <c r="H10">
        <v>0.31</v>
      </c>
      <c r="I10">
        <v>3.5000000000000003E-2</v>
      </c>
      <c r="K10">
        <f>F10*G10</f>
        <v>2473.2800000000002</v>
      </c>
      <c r="L10">
        <f t="shared" ref="L10:L17" si="0">F10*H10</f>
        <v>1170.56</v>
      </c>
      <c r="M10">
        <f t="shared" ref="M10:M17" si="1">F10*I10</f>
        <v>132.16000000000003</v>
      </c>
      <c r="N10" s="5"/>
      <c r="O10" s="5"/>
      <c r="P10" s="5"/>
      <c r="Q10" s="5"/>
      <c r="R10" s="5"/>
    </row>
    <row r="11" spans="3:18" x14ac:dyDescent="0.2">
      <c r="D11" t="s">
        <v>15</v>
      </c>
      <c r="F11">
        <v>2124</v>
      </c>
      <c r="G11">
        <v>0.78600000000000003</v>
      </c>
      <c r="H11">
        <v>0.21299999999999999</v>
      </c>
      <c r="I11">
        <v>1E-3</v>
      </c>
      <c r="K11">
        <f t="shared" ref="K11:K17" si="2">F11*G11</f>
        <v>1669.4640000000002</v>
      </c>
      <c r="L11">
        <f t="shared" si="0"/>
        <v>452.41199999999998</v>
      </c>
      <c r="M11">
        <f t="shared" si="1"/>
        <v>2.1240000000000001</v>
      </c>
      <c r="N11" s="5"/>
      <c r="O11" s="5"/>
      <c r="P11" s="5"/>
      <c r="Q11" s="5"/>
      <c r="R11" s="5"/>
    </row>
    <row r="12" spans="3:18" x14ac:dyDescent="0.2">
      <c r="C12" t="s">
        <v>16</v>
      </c>
      <c r="D12" t="s">
        <v>13</v>
      </c>
      <c r="E12">
        <v>414</v>
      </c>
      <c r="F12">
        <v>560</v>
      </c>
      <c r="G12">
        <v>0.17399999999999999</v>
      </c>
      <c r="H12">
        <v>0.46600000000000003</v>
      </c>
      <c r="I12">
        <v>0.36</v>
      </c>
      <c r="J12">
        <f>SUM(F12:F14)</f>
        <v>935</v>
      </c>
      <c r="K12">
        <f t="shared" si="2"/>
        <v>97.44</v>
      </c>
      <c r="L12">
        <f t="shared" si="0"/>
        <v>260.96000000000004</v>
      </c>
      <c r="M12">
        <f t="shared" si="1"/>
        <v>201.6</v>
      </c>
      <c r="N12" s="5">
        <f>SUM(M11:M13)</f>
        <v>214.976</v>
      </c>
      <c r="O12" s="5">
        <f>J12-N12</f>
        <v>720.024</v>
      </c>
      <c r="P12" s="5">
        <f>N12/J12</f>
        <v>0.22992085561497327</v>
      </c>
      <c r="Q12" s="5">
        <f>J12-E12</f>
        <v>521</v>
      </c>
      <c r="R12" s="5">
        <f>Q12/J12</f>
        <v>0.55721925133689842</v>
      </c>
    </row>
    <row r="13" spans="3:18" x14ac:dyDescent="0.2">
      <c r="D13" t="s">
        <v>14</v>
      </c>
      <c r="F13">
        <v>194</v>
      </c>
      <c r="G13">
        <v>0.59399999999999997</v>
      </c>
      <c r="H13">
        <v>0.34799999999999998</v>
      </c>
      <c r="I13">
        <v>5.8000000000000003E-2</v>
      </c>
      <c r="K13">
        <f t="shared" si="2"/>
        <v>115.23599999999999</v>
      </c>
      <c r="L13">
        <f t="shared" si="0"/>
        <v>67.512</v>
      </c>
      <c r="M13">
        <f t="shared" si="1"/>
        <v>11.252000000000001</v>
      </c>
      <c r="N13" s="5"/>
      <c r="O13" s="5"/>
      <c r="P13" s="5"/>
      <c r="Q13" s="5"/>
      <c r="R13" s="5"/>
    </row>
    <row r="14" spans="3:18" x14ac:dyDescent="0.2">
      <c r="D14" t="s">
        <v>15</v>
      </c>
      <c r="F14">
        <v>181</v>
      </c>
      <c r="G14">
        <v>0.56999999999999995</v>
      </c>
      <c r="H14">
        <v>0.42299999999999999</v>
      </c>
      <c r="I14">
        <v>7.0000000000000001E-3</v>
      </c>
      <c r="K14">
        <f t="shared" si="2"/>
        <v>103.16999999999999</v>
      </c>
      <c r="L14">
        <f t="shared" si="0"/>
        <v>76.563000000000002</v>
      </c>
      <c r="M14">
        <f t="shared" si="1"/>
        <v>1.2670000000000001</v>
      </c>
      <c r="N14" s="5"/>
      <c r="O14" s="5"/>
      <c r="P14" s="5"/>
      <c r="Q14" s="5"/>
      <c r="R14" s="5"/>
    </row>
    <row r="15" spans="3:18" x14ac:dyDescent="0.2">
      <c r="C15" t="s">
        <v>17</v>
      </c>
      <c r="D15" t="s">
        <v>13</v>
      </c>
      <c r="E15">
        <v>2138</v>
      </c>
      <c r="F15">
        <v>3400</v>
      </c>
      <c r="G15">
        <v>7.2999999999999995E-2</v>
      </c>
      <c r="H15">
        <v>0.46400000000000002</v>
      </c>
      <c r="I15">
        <v>0.46400000000000002</v>
      </c>
      <c r="J15">
        <f>SUM(F15:F17)</f>
        <v>5025</v>
      </c>
      <c r="K15">
        <f t="shared" si="2"/>
        <v>248.2</v>
      </c>
      <c r="L15">
        <f t="shared" si="0"/>
        <v>1577.6000000000001</v>
      </c>
      <c r="M15">
        <f t="shared" si="1"/>
        <v>1577.6000000000001</v>
      </c>
      <c r="N15" s="5">
        <f>SUM(M15:M17)</f>
        <v>1620.5820000000001</v>
      </c>
      <c r="O15" s="5">
        <f>J15-N15</f>
        <v>3404.4179999999997</v>
      </c>
      <c r="P15" s="5">
        <f>N15/J15</f>
        <v>0.32250388059701496</v>
      </c>
      <c r="Q15" s="5">
        <f>J15-E15</f>
        <v>2887</v>
      </c>
      <c r="R15" s="5">
        <f>Q15/J15</f>
        <v>0.5745273631840796</v>
      </c>
    </row>
    <row r="16" spans="3:18" x14ac:dyDescent="0.2">
      <c r="D16" t="s">
        <v>14</v>
      </c>
      <c r="F16">
        <v>946</v>
      </c>
      <c r="G16">
        <v>0.60499999999999998</v>
      </c>
      <c r="H16">
        <v>0.35099999999999998</v>
      </c>
      <c r="I16">
        <v>4.3999999999999997E-2</v>
      </c>
      <c r="K16">
        <f t="shared" si="2"/>
        <v>572.32999999999993</v>
      </c>
      <c r="L16">
        <f t="shared" si="0"/>
        <v>332.04599999999999</v>
      </c>
      <c r="M16">
        <f t="shared" si="1"/>
        <v>41.623999999999995</v>
      </c>
      <c r="N16" s="5"/>
      <c r="O16" s="5"/>
      <c r="P16" s="5"/>
      <c r="Q16" s="5"/>
      <c r="R16" s="5"/>
    </row>
    <row r="17" spans="3:18" x14ac:dyDescent="0.2">
      <c r="D17" t="s">
        <v>15</v>
      </c>
      <c r="F17">
        <v>679</v>
      </c>
      <c r="G17">
        <v>0.68400000000000005</v>
      </c>
      <c r="H17">
        <v>0.314</v>
      </c>
      <c r="I17">
        <v>2E-3</v>
      </c>
      <c r="K17">
        <f t="shared" si="2"/>
        <v>464.43600000000004</v>
      </c>
      <c r="L17">
        <f t="shared" si="0"/>
        <v>213.20599999999999</v>
      </c>
      <c r="M17">
        <f t="shared" si="1"/>
        <v>1.3580000000000001</v>
      </c>
      <c r="N17" s="5"/>
      <c r="O17" s="5"/>
      <c r="P17" s="5"/>
      <c r="Q17" s="5"/>
      <c r="R17" s="5"/>
    </row>
    <row r="18" spans="3:18" x14ac:dyDescent="0.2">
      <c r="E18">
        <f>SUM(E9:E17)</f>
        <v>12402</v>
      </c>
      <c r="J18">
        <f>SUM(J9:J17)</f>
        <v>27332</v>
      </c>
      <c r="N18" s="5">
        <f>SUM(N9+N12+N15)</f>
        <v>8746.5779999999995</v>
      </c>
      <c r="O18" s="5">
        <f>SUM(O9+O12+O15)</f>
        <v>18585.421999999999</v>
      </c>
      <c r="P18" s="5">
        <f>N18/J18</f>
        <v>0.32001236645690034</v>
      </c>
      <c r="Q18">
        <f>J18-E18</f>
        <v>14930</v>
      </c>
      <c r="R18">
        <f>Q18/J18</f>
        <v>0.54624615834918777</v>
      </c>
    </row>
    <row r="20" spans="3:18" x14ac:dyDescent="0.2">
      <c r="C20" s="8" t="s">
        <v>22</v>
      </c>
      <c r="D20" s="8"/>
      <c r="N20" t="s">
        <v>7</v>
      </c>
      <c r="O20" t="s">
        <v>8</v>
      </c>
      <c r="P20" t="s">
        <v>23</v>
      </c>
    </row>
    <row r="21" spans="3:18" x14ac:dyDescent="0.2">
      <c r="C21" t="s">
        <v>12</v>
      </c>
      <c r="D21" t="s">
        <v>13</v>
      </c>
      <c r="E21">
        <v>25040</v>
      </c>
      <c r="F21">
        <v>35119</v>
      </c>
      <c r="G21">
        <v>3.3000000000000002E-2</v>
      </c>
      <c r="H21">
        <v>0.64500000000000002</v>
      </c>
      <c r="I21">
        <v>0.32100000000000001</v>
      </c>
      <c r="J21">
        <f>SUM(F21:F23)</f>
        <v>43487</v>
      </c>
      <c r="K21">
        <f t="shared" ref="K21:K29" si="3">F21*G21</f>
        <v>1158.9270000000001</v>
      </c>
      <c r="L21">
        <f t="shared" ref="L21:L29" si="4">F21*H21</f>
        <v>22651.755000000001</v>
      </c>
      <c r="M21">
        <f t="shared" ref="M21:M29" si="5">F21*I21</f>
        <v>11273.199000000001</v>
      </c>
      <c r="N21" s="5">
        <f>SUM(M21:M23)</f>
        <v>11385.643</v>
      </c>
      <c r="O21" s="5">
        <f>J21-N21</f>
        <v>32101.357</v>
      </c>
      <c r="P21" s="5">
        <f>N21/J21</f>
        <v>0.26181716375008623</v>
      </c>
      <c r="Q21" s="5">
        <f>J21-E21</f>
        <v>18447</v>
      </c>
      <c r="R21" s="5">
        <f>Q21/J21</f>
        <v>0.42419573665693194</v>
      </c>
    </row>
    <row r="22" spans="3:18" x14ac:dyDescent="0.2">
      <c r="D22" t="s">
        <v>14</v>
      </c>
      <c r="F22">
        <v>5782</v>
      </c>
      <c r="G22">
        <v>0.78900000000000003</v>
      </c>
      <c r="H22">
        <v>0.192</v>
      </c>
      <c r="I22">
        <v>1.9E-2</v>
      </c>
      <c r="K22">
        <f t="shared" si="3"/>
        <v>4561.9980000000005</v>
      </c>
      <c r="L22">
        <f t="shared" si="4"/>
        <v>1110.144</v>
      </c>
      <c r="M22">
        <f t="shared" si="5"/>
        <v>109.858</v>
      </c>
      <c r="N22" s="5"/>
      <c r="O22" s="5"/>
      <c r="P22" s="5"/>
      <c r="Q22" s="5"/>
      <c r="R22" s="5"/>
    </row>
    <row r="23" spans="3:18" x14ac:dyDescent="0.2">
      <c r="D23" t="s">
        <v>15</v>
      </c>
      <c r="F23">
        <v>2586</v>
      </c>
      <c r="G23">
        <v>0.89800000000000002</v>
      </c>
      <c r="H23">
        <v>0.10199999999999999</v>
      </c>
      <c r="I23">
        <v>1E-3</v>
      </c>
      <c r="K23">
        <f t="shared" si="3"/>
        <v>2322.2280000000001</v>
      </c>
      <c r="L23">
        <f t="shared" si="4"/>
        <v>263.77199999999999</v>
      </c>
      <c r="M23">
        <f t="shared" si="5"/>
        <v>2.5859999999999999</v>
      </c>
      <c r="N23" s="5"/>
      <c r="O23" s="5"/>
      <c r="P23" s="5"/>
      <c r="Q23" s="5"/>
      <c r="R23" s="5"/>
    </row>
    <row r="24" spans="3:18" x14ac:dyDescent="0.2">
      <c r="C24" t="s">
        <v>16</v>
      </c>
      <c r="D24" t="s">
        <v>13</v>
      </c>
      <c r="E24">
        <v>1053</v>
      </c>
      <c r="F24">
        <v>1362</v>
      </c>
      <c r="G24">
        <v>0.121</v>
      </c>
      <c r="H24">
        <v>0.57499999999999996</v>
      </c>
      <c r="I24">
        <v>0.30499999999999999</v>
      </c>
      <c r="J24">
        <f>SUM(F24:F26)</f>
        <v>1952</v>
      </c>
      <c r="K24">
        <f t="shared" si="3"/>
        <v>164.80199999999999</v>
      </c>
      <c r="L24">
        <f t="shared" si="4"/>
        <v>783.15</v>
      </c>
      <c r="M24">
        <f t="shared" si="5"/>
        <v>415.40999999999997</v>
      </c>
      <c r="N24" s="5">
        <f>SUM(M24:M26)</f>
        <v>426.60999999999996</v>
      </c>
      <c r="O24" s="5">
        <f>J24-N24</f>
        <v>1525.39</v>
      </c>
      <c r="P24" s="5">
        <f>N24/J24</f>
        <v>0.21855020491803276</v>
      </c>
      <c r="Q24" s="5">
        <f>J24-E24</f>
        <v>899</v>
      </c>
      <c r="R24" s="5">
        <f>Q24/J24</f>
        <v>0.46055327868852458</v>
      </c>
    </row>
    <row r="25" spans="3:18" x14ac:dyDescent="0.2">
      <c r="D25" t="s">
        <v>14</v>
      </c>
      <c r="F25">
        <v>330</v>
      </c>
      <c r="G25">
        <v>0.71899999999999997</v>
      </c>
      <c r="H25">
        <v>0.251</v>
      </c>
      <c r="I25">
        <v>0.03</v>
      </c>
      <c r="K25">
        <f t="shared" si="3"/>
        <v>237.26999999999998</v>
      </c>
      <c r="L25">
        <f t="shared" si="4"/>
        <v>82.83</v>
      </c>
      <c r="M25">
        <f t="shared" si="5"/>
        <v>9.9</v>
      </c>
      <c r="N25" s="5"/>
      <c r="O25" s="5"/>
      <c r="P25" s="5"/>
      <c r="Q25" s="5"/>
      <c r="R25" s="5"/>
    </row>
    <row r="26" spans="3:18" x14ac:dyDescent="0.2">
      <c r="D26" t="s">
        <v>15</v>
      </c>
      <c r="F26">
        <v>260</v>
      </c>
      <c r="G26">
        <v>0.75800000000000001</v>
      </c>
      <c r="H26">
        <v>0.23699999999999999</v>
      </c>
      <c r="I26">
        <v>5.0000000000000001E-3</v>
      </c>
      <c r="K26">
        <f t="shared" si="3"/>
        <v>197.08</v>
      </c>
      <c r="L26">
        <f t="shared" si="4"/>
        <v>61.62</v>
      </c>
      <c r="M26">
        <f t="shared" si="5"/>
        <v>1.3</v>
      </c>
      <c r="N26" s="5"/>
      <c r="O26" s="5"/>
      <c r="P26" s="5"/>
      <c r="Q26" s="5"/>
      <c r="R26" s="5"/>
    </row>
    <row r="27" spans="3:18" x14ac:dyDescent="0.2">
      <c r="C27" t="s">
        <v>17</v>
      </c>
      <c r="D27" t="s">
        <v>13</v>
      </c>
      <c r="E27">
        <v>5270</v>
      </c>
      <c r="F27">
        <v>7500</v>
      </c>
      <c r="G27">
        <v>5.1999999999999998E-2</v>
      </c>
      <c r="H27">
        <v>0.60299999999999998</v>
      </c>
      <c r="I27">
        <v>0.34499999999999997</v>
      </c>
      <c r="J27">
        <f>SUM(F27:F29)</f>
        <v>9811</v>
      </c>
      <c r="K27">
        <f t="shared" si="3"/>
        <v>390</v>
      </c>
      <c r="L27">
        <f t="shared" si="4"/>
        <v>4522.5</v>
      </c>
      <c r="M27">
        <f t="shared" si="5"/>
        <v>2587.5</v>
      </c>
      <c r="N27" s="5">
        <f>SUM(M27:M29)</f>
        <v>2626.5360000000001</v>
      </c>
      <c r="O27" s="5">
        <f>J27-N27</f>
        <v>7184.4639999999999</v>
      </c>
      <c r="P27" s="5">
        <f>N27/J27</f>
        <v>0.26771338293751912</v>
      </c>
      <c r="Q27" s="5">
        <f>J27-E27</f>
        <v>4541</v>
      </c>
      <c r="R27" s="5">
        <f>Q27/J27</f>
        <v>0.46284782387116502</v>
      </c>
    </row>
    <row r="28" spans="3:18" x14ac:dyDescent="0.2">
      <c r="D28" t="s">
        <v>14</v>
      </c>
      <c r="F28">
        <v>1469</v>
      </c>
      <c r="G28">
        <v>0.75</v>
      </c>
      <c r="H28">
        <v>0.224</v>
      </c>
      <c r="I28">
        <v>2.5999999999999999E-2</v>
      </c>
      <c r="K28">
        <f t="shared" si="3"/>
        <v>1101.75</v>
      </c>
      <c r="L28">
        <f t="shared" si="4"/>
        <v>329.05599999999998</v>
      </c>
      <c r="M28">
        <f t="shared" si="5"/>
        <v>38.193999999999996</v>
      </c>
    </row>
    <row r="29" spans="3:18" x14ac:dyDescent="0.2">
      <c r="D29" t="s">
        <v>15</v>
      </c>
      <c r="F29">
        <v>842</v>
      </c>
      <c r="G29">
        <v>0.84099999999999997</v>
      </c>
      <c r="H29">
        <v>0.157</v>
      </c>
      <c r="I29">
        <v>1E-3</v>
      </c>
      <c r="K29">
        <f t="shared" si="3"/>
        <v>708.12199999999996</v>
      </c>
      <c r="L29">
        <f t="shared" si="4"/>
        <v>132.19399999999999</v>
      </c>
      <c r="M29">
        <f t="shared" si="5"/>
        <v>0.84199999999999997</v>
      </c>
    </row>
    <row r="30" spans="3:18" x14ac:dyDescent="0.2">
      <c r="E30">
        <f>SUM(E21:E29)</f>
        <v>31363</v>
      </c>
      <c r="I30" t="s">
        <v>38</v>
      </c>
      <c r="J30">
        <f>SUM(J21:J29)</f>
        <v>55250</v>
      </c>
      <c r="N30" s="5">
        <f>SUM(N21+N24+N27)</f>
        <v>14438.789000000001</v>
      </c>
      <c r="O30" s="5">
        <f>O21+O24+O27</f>
        <v>40811.211000000003</v>
      </c>
      <c r="P30" s="5">
        <f>N30/J30</f>
        <v>0.26133554751131222</v>
      </c>
      <c r="Q30">
        <f>J30-E30</f>
        <v>23887</v>
      </c>
      <c r="R30" s="2">
        <f>Q30/J30</f>
        <v>0.43234389140271495</v>
      </c>
    </row>
  </sheetData>
  <mergeCells count="5">
    <mergeCell ref="E6:I6"/>
    <mergeCell ref="C7:D7"/>
    <mergeCell ref="G8:I8"/>
    <mergeCell ref="K8:M8"/>
    <mergeCell ref="C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ED3D-B944-E94D-B8A2-49FD322B3DA2}">
  <dimension ref="C4:AA29"/>
  <sheetViews>
    <sheetView tabSelected="1" topLeftCell="H1" workbookViewId="0">
      <selection activeCell="W17" sqref="W17"/>
    </sheetView>
  </sheetViews>
  <sheetFormatPr baseColWidth="10" defaultRowHeight="15" x14ac:dyDescent="0.2"/>
  <sheetData>
    <row r="4" spans="3:27" x14ac:dyDescent="0.2">
      <c r="E4" s="8" t="s">
        <v>0</v>
      </c>
      <c r="F4" s="8"/>
      <c r="G4" s="8"/>
      <c r="H4" s="8"/>
      <c r="I4" s="8"/>
    </row>
    <row r="5" spans="3:27" x14ac:dyDescent="0.2">
      <c r="C5" s="8" t="s">
        <v>1</v>
      </c>
      <c r="D5" s="8"/>
      <c r="E5" t="s">
        <v>2</v>
      </c>
      <c r="F5" t="s">
        <v>3</v>
      </c>
      <c r="G5">
        <v>0</v>
      </c>
      <c r="H5">
        <v>1</v>
      </c>
      <c r="I5">
        <v>2</v>
      </c>
      <c r="J5" t="s">
        <v>4</v>
      </c>
      <c r="K5">
        <v>0</v>
      </c>
      <c r="L5">
        <v>1</v>
      </c>
      <c r="M5">
        <v>2</v>
      </c>
      <c r="S5" s="8" t="s">
        <v>35</v>
      </c>
      <c r="T5" s="8"/>
      <c r="U5" s="8"/>
      <c r="V5" s="8"/>
      <c r="W5" s="8"/>
    </row>
    <row r="6" spans="3:27" x14ac:dyDescent="0.2">
      <c r="G6" s="8" t="s">
        <v>5</v>
      </c>
      <c r="H6" s="8"/>
      <c r="I6" s="8"/>
      <c r="L6" t="s">
        <v>6</v>
      </c>
      <c r="Q6" s="8" t="s">
        <v>1</v>
      </c>
      <c r="R6" s="8"/>
      <c r="S6" t="s">
        <v>2</v>
      </c>
      <c r="T6" t="s">
        <v>3</v>
      </c>
      <c r="U6">
        <v>0</v>
      </c>
      <c r="V6">
        <v>1</v>
      </c>
      <c r="W6">
        <v>2</v>
      </c>
      <c r="X6" t="s">
        <v>4</v>
      </c>
      <c r="Y6">
        <v>0</v>
      </c>
      <c r="Z6">
        <v>1</v>
      </c>
      <c r="AA6">
        <v>2</v>
      </c>
    </row>
    <row r="7" spans="3:27" x14ac:dyDescent="0.2">
      <c r="C7" t="s">
        <v>12</v>
      </c>
      <c r="D7" t="s">
        <v>13</v>
      </c>
      <c r="E7">
        <v>52348</v>
      </c>
      <c r="F7">
        <v>48199</v>
      </c>
      <c r="G7">
        <v>0.3</v>
      </c>
      <c r="H7">
        <v>0.52300000000000002</v>
      </c>
      <c r="I7">
        <v>0.17699999999999999</v>
      </c>
      <c r="K7">
        <f>G7*E7</f>
        <v>15704.4</v>
      </c>
      <c r="L7">
        <f>H7*E7</f>
        <v>27378.004000000001</v>
      </c>
      <c r="M7">
        <f>I7*E7</f>
        <v>9265.5959999999995</v>
      </c>
      <c r="N7">
        <f>L7+M7</f>
        <v>36643.599999999999</v>
      </c>
      <c r="U7" s="8" t="s">
        <v>5</v>
      </c>
      <c r="V7" s="8"/>
      <c r="W7" s="8"/>
      <c r="Y7" s="8" t="s">
        <v>6</v>
      </c>
      <c r="Z7" s="8"/>
      <c r="AA7" s="8"/>
    </row>
    <row r="8" spans="3:27" x14ac:dyDescent="0.2">
      <c r="D8" t="s">
        <v>14</v>
      </c>
      <c r="F8">
        <v>27011</v>
      </c>
      <c r="G8">
        <v>0.55000000000000004</v>
      </c>
      <c r="H8">
        <v>0.39200000000000002</v>
      </c>
      <c r="I8">
        <v>5.8999999999999997E-2</v>
      </c>
      <c r="K8">
        <f>G8*E7</f>
        <v>28791.4</v>
      </c>
      <c r="L8">
        <f>H8*E7</f>
        <v>20520.416000000001</v>
      </c>
      <c r="M8">
        <f>I8*E7</f>
        <v>3088.5319999999997</v>
      </c>
      <c r="N8">
        <f>L8+M8</f>
        <v>23608.948</v>
      </c>
      <c r="Q8" t="s">
        <v>12</v>
      </c>
      <c r="R8" t="s">
        <v>13</v>
      </c>
      <c r="S8">
        <v>19496</v>
      </c>
      <c r="T8">
        <v>21865</v>
      </c>
      <c r="U8">
        <v>0.182</v>
      </c>
      <c r="V8">
        <v>0.57399999999999995</v>
      </c>
      <c r="W8">
        <v>0.24399999999999999</v>
      </c>
      <c r="Y8">
        <f>19496*U8</f>
        <v>3548.2719999999999</v>
      </c>
      <c r="Z8">
        <f t="shared" ref="Z8:AA8" si="0">19496*V8</f>
        <v>11190.704</v>
      </c>
      <c r="AA8">
        <f t="shared" si="0"/>
        <v>4757.0240000000003</v>
      </c>
    </row>
    <row r="9" spans="3:27" x14ac:dyDescent="0.2">
      <c r="D9" t="s">
        <v>15</v>
      </c>
      <c r="F9">
        <v>9684</v>
      </c>
      <c r="G9">
        <v>0.82699999999999996</v>
      </c>
      <c r="H9">
        <v>0.161</v>
      </c>
      <c r="I9">
        <v>1.2E-2</v>
      </c>
      <c r="K9">
        <f>G9*E7</f>
        <v>43291.795999999995</v>
      </c>
      <c r="L9">
        <f>H9*E7</f>
        <v>8428.0280000000002</v>
      </c>
      <c r="M9">
        <f>I9*E7</f>
        <v>628.17600000000004</v>
      </c>
      <c r="N9">
        <f>M9+L9</f>
        <v>9056.2039999999997</v>
      </c>
      <c r="R9" t="s">
        <v>14</v>
      </c>
      <c r="T9">
        <v>6829</v>
      </c>
      <c r="U9">
        <v>0.68300000000000005</v>
      </c>
      <c r="V9">
        <v>0.28499999999999998</v>
      </c>
      <c r="W9">
        <v>3.1E-2</v>
      </c>
      <c r="Y9">
        <f t="shared" ref="Y9:Y10" si="1">19496*U9</f>
        <v>13315.768000000002</v>
      </c>
      <c r="Z9">
        <f t="shared" ref="Z9:Z10" si="2">19496*V9</f>
        <v>5556.36</v>
      </c>
      <c r="AA9">
        <f t="shared" ref="AA9:AA10" si="3">19496*W9</f>
        <v>604.37599999999998</v>
      </c>
    </row>
    <row r="10" spans="3:27" x14ac:dyDescent="0.2">
      <c r="C10" t="s">
        <v>16</v>
      </c>
      <c r="D10" t="s">
        <v>13</v>
      </c>
      <c r="E10">
        <v>2649</v>
      </c>
      <c r="F10">
        <v>2015</v>
      </c>
      <c r="G10">
        <v>0.41299999999999998</v>
      </c>
      <c r="H10">
        <v>0.442</v>
      </c>
      <c r="I10">
        <v>0.14499999999999999</v>
      </c>
      <c r="K10">
        <f>2649*G10</f>
        <v>1094.037</v>
      </c>
      <c r="L10">
        <f t="shared" ref="L10:M10" si="4">2649*H10</f>
        <v>1170.8579999999999</v>
      </c>
      <c r="M10">
        <f t="shared" si="4"/>
        <v>384.10499999999996</v>
      </c>
      <c r="N10">
        <f t="shared" ref="N10:N15" si="5">M10+L10</f>
        <v>1554.963</v>
      </c>
      <c r="R10" t="s">
        <v>15</v>
      </c>
      <c r="T10">
        <v>4109</v>
      </c>
      <c r="U10">
        <v>0.80500000000000005</v>
      </c>
      <c r="V10">
        <v>0.18</v>
      </c>
      <c r="W10">
        <v>1.4999999999999999E-2</v>
      </c>
      <c r="Y10">
        <f t="shared" si="1"/>
        <v>15694.28</v>
      </c>
      <c r="Z10">
        <f t="shared" si="2"/>
        <v>3509.2799999999997</v>
      </c>
      <c r="AA10">
        <f t="shared" si="3"/>
        <v>292.44</v>
      </c>
    </row>
    <row r="11" spans="3:27" x14ac:dyDescent="0.2">
      <c r="D11" t="s">
        <v>14</v>
      </c>
      <c r="F11">
        <v>1311</v>
      </c>
      <c r="G11">
        <v>0.56200000000000006</v>
      </c>
      <c r="H11">
        <v>0.38700000000000001</v>
      </c>
      <c r="I11">
        <v>5.1999999999999998E-2</v>
      </c>
      <c r="K11">
        <f t="shared" ref="K11:K12" si="6">2649*G11</f>
        <v>1488.7380000000001</v>
      </c>
      <c r="L11">
        <f t="shared" ref="L11:L12" si="7">2649*H11</f>
        <v>1025.163</v>
      </c>
      <c r="M11">
        <f t="shared" ref="M11:M12" si="8">2649*I11</f>
        <v>137.74799999999999</v>
      </c>
      <c r="N11">
        <f t="shared" si="5"/>
        <v>1162.9110000000001</v>
      </c>
      <c r="Q11" t="s">
        <v>16</v>
      </c>
      <c r="R11" t="s">
        <v>13</v>
      </c>
      <c r="S11">
        <v>978</v>
      </c>
      <c r="T11">
        <v>992</v>
      </c>
      <c r="U11">
        <v>0.25900000000000001</v>
      </c>
      <c r="V11">
        <v>0.51500000000000001</v>
      </c>
      <c r="W11">
        <v>0.22600000000000001</v>
      </c>
      <c r="Y11">
        <f>U11*978</f>
        <v>253.30200000000002</v>
      </c>
      <c r="Z11">
        <f t="shared" ref="Z11:AA11" si="9">V11*978</f>
        <v>503.67</v>
      </c>
      <c r="AA11">
        <f t="shared" si="9"/>
        <v>221.02800000000002</v>
      </c>
    </row>
    <row r="12" spans="3:27" x14ac:dyDescent="0.2">
      <c r="D12" t="s">
        <v>15</v>
      </c>
      <c r="F12">
        <v>1057</v>
      </c>
      <c r="G12">
        <v>0.63</v>
      </c>
      <c r="H12">
        <v>0.34100000000000003</v>
      </c>
      <c r="I12">
        <v>2.8000000000000001E-2</v>
      </c>
      <c r="K12">
        <f t="shared" si="6"/>
        <v>1668.8700000000001</v>
      </c>
      <c r="L12">
        <f t="shared" si="7"/>
        <v>903.30900000000008</v>
      </c>
      <c r="M12">
        <f t="shared" si="8"/>
        <v>74.171999999999997</v>
      </c>
      <c r="N12">
        <f t="shared" si="5"/>
        <v>977.48100000000011</v>
      </c>
      <c r="R12" t="s">
        <v>14</v>
      </c>
      <c r="T12">
        <v>379</v>
      </c>
      <c r="U12">
        <v>0.65</v>
      </c>
      <c r="V12">
        <v>0.316</v>
      </c>
      <c r="W12">
        <v>3.4000000000000002E-2</v>
      </c>
      <c r="Y12">
        <f t="shared" ref="Y12:Y13" si="10">U12*978</f>
        <v>635.70000000000005</v>
      </c>
      <c r="Z12">
        <f t="shared" ref="Z12:Z13" si="11">V12*978</f>
        <v>309.048</v>
      </c>
      <c r="AA12">
        <f t="shared" ref="AA12:AA13" si="12">W12*978</f>
        <v>33.252000000000002</v>
      </c>
    </row>
    <row r="13" spans="3:27" x14ac:dyDescent="0.2">
      <c r="C13" t="s">
        <v>17</v>
      </c>
      <c r="D13" t="s">
        <v>13</v>
      </c>
      <c r="E13">
        <v>12360</v>
      </c>
      <c r="F13">
        <v>10201</v>
      </c>
      <c r="G13">
        <v>0.371</v>
      </c>
      <c r="H13">
        <v>0.47499999999999998</v>
      </c>
      <c r="I13">
        <v>0.155</v>
      </c>
      <c r="K13">
        <f>12360*G13</f>
        <v>4585.5600000000004</v>
      </c>
      <c r="L13">
        <f t="shared" ref="L13:M13" si="13">12360*H13</f>
        <v>5871</v>
      </c>
      <c r="M13">
        <f t="shared" si="13"/>
        <v>1915.8</v>
      </c>
      <c r="N13">
        <f t="shared" si="5"/>
        <v>7786.8</v>
      </c>
      <c r="R13" t="s">
        <v>15</v>
      </c>
      <c r="T13">
        <v>345</v>
      </c>
      <c r="U13">
        <v>0.67100000000000004</v>
      </c>
      <c r="V13">
        <v>0.30599999999999999</v>
      </c>
      <c r="W13">
        <v>2.4E-2</v>
      </c>
      <c r="Y13">
        <f t="shared" si="10"/>
        <v>656.23800000000006</v>
      </c>
      <c r="Z13">
        <f t="shared" si="11"/>
        <v>299.26799999999997</v>
      </c>
      <c r="AA13">
        <f t="shared" si="12"/>
        <v>23.472000000000001</v>
      </c>
    </row>
    <row r="14" spans="3:27" x14ac:dyDescent="0.2">
      <c r="D14" t="s">
        <v>14</v>
      </c>
      <c r="F14">
        <v>6784</v>
      </c>
      <c r="G14">
        <v>0.52300000000000002</v>
      </c>
      <c r="H14">
        <v>0.41299999999999998</v>
      </c>
      <c r="I14">
        <v>6.5000000000000002E-2</v>
      </c>
      <c r="K14">
        <f t="shared" ref="K14:K15" si="14">12360*G14</f>
        <v>6464.2800000000007</v>
      </c>
      <c r="L14">
        <f t="shared" ref="L14:L15" si="15">12360*H14</f>
        <v>5104.6799999999994</v>
      </c>
      <c r="M14">
        <f t="shared" ref="M14:M15" si="16">12360*I14</f>
        <v>803.4</v>
      </c>
      <c r="N14">
        <f t="shared" si="5"/>
        <v>5908.079999999999</v>
      </c>
      <c r="Q14" t="s">
        <v>17</v>
      </c>
      <c r="R14" t="s">
        <v>13</v>
      </c>
      <c r="S14">
        <v>4935</v>
      </c>
      <c r="T14">
        <v>5295</v>
      </c>
      <c r="U14">
        <v>0.23699999999999999</v>
      </c>
      <c r="V14">
        <v>0.51800000000000002</v>
      </c>
      <c r="W14">
        <v>0.245</v>
      </c>
      <c r="Y14">
        <f>4935*U14</f>
        <v>1169.595</v>
      </c>
      <c r="Z14">
        <f t="shared" ref="Z14:AA14" si="17">4935*V14</f>
        <v>2556.33</v>
      </c>
      <c r="AA14">
        <f t="shared" si="17"/>
        <v>1209.075</v>
      </c>
    </row>
    <row r="15" spans="3:27" x14ac:dyDescent="0.2">
      <c r="D15" t="s">
        <v>15</v>
      </c>
      <c r="F15">
        <v>3905</v>
      </c>
      <c r="G15">
        <v>0.70699999999999996</v>
      </c>
      <c r="H15">
        <v>0.27100000000000002</v>
      </c>
      <c r="I15">
        <v>2.1999999999999999E-2</v>
      </c>
      <c r="K15">
        <f t="shared" si="14"/>
        <v>8738.52</v>
      </c>
      <c r="L15">
        <f t="shared" si="15"/>
        <v>3349.5600000000004</v>
      </c>
      <c r="M15">
        <f t="shared" si="16"/>
        <v>271.91999999999996</v>
      </c>
      <c r="N15">
        <f t="shared" si="5"/>
        <v>3621.4800000000005</v>
      </c>
      <c r="R15" t="s">
        <v>14</v>
      </c>
      <c r="T15">
        <v>1962</v>
      </c>
      <c r="U15">
        <v>0.64200000000000002</v>
      </c>
      <c r="V15">
        <v>0.32100000000000001</v>
      </c>
      <c r="W15">
        <v>3.6999999999999998E-2</v>
      </c>
      <c r="Y15">
        <f t="shared" ref="Y15:Y16" si="18">4935*U15</f>
        <v>3168.27</v>
      </c>
      <c r="Z15">
        <f t="shared" ref="Z15:Z16" si="19">4935*V15</f>
        <v>1584.135</v>
      </c>
      <c r="AA15">
        <f t="shared" ref="AA15:AA16" si="20">4935*W15</f>
        <v>182.595</v>
      </c>
    </row>
    <row r="16" spans="3:27" x14ac:dyDescent="0.2">
      <c r="R16" t="s">
        <v>15</v>
      </c>
      <c r="T16">
        <v>1525</v>
      </c>
      <c r="U16">
        <v>0.71799999999999997</v>
      </c>
      <c r="V16">
        <v>0.25600000000000001</v>
      </c>
      <c r="W16">
        <v>2.5999999999999999E-2</v>
      </c>
      <c r="Y16">
        <f t="shared" si="18"/>
        <v>3543.33</v>
      </c>
      <c r="Z16">
        <f t="shared" si="19"/>
        <v>1263.3600000000001</v>
      </c>
      <c r="AA16">
        <f t="shared" si="20"/>
        <v>128.31</v>
      </c>
    </row>
    <row r="19" spans="3:27" x14ac:dyDescent="0.2">
      <c r="C19" s="8" t="s">
        <v>1</v>
      </c>
      <c r="D19" s="8"/>
      <c r="E19" t="s">
        <v>2</v>
      </c>
      <c r="F19" t="s">
        <v>3</v>
      </c>
      <c r="G19">
        <v>0</v>
      </c>
      <c r="H19">
        <v>1</v>
      </c>
      <c r="I19">
        <v>2</v>
      </c>
      <c r="J19" t="s">
        <v>4</v>
      </c>
      <c r="K19">
        <v>0</v>
      </c>
      <c r="L19">
        <v>1</v>
      </c>
      <c r="M19">
        <v>2</v>
      </c>
      <c r="S19" t="s">
        <v>2</v>
      </c>
      <c r="T19" t="s">
        <v>3</v>
      </c>
      <c r="U19">
        <v>0</v>
      </c>
      <c r="V19">
        <v>1</v>
      </c>
      <c r="W19">
        <v>2</v>
      </c>
      <c r="X19" t="s">
        <v>4</v>
      </c>
      <c r="Y19">
        <v>0</v>
      </c>
      <c r="Z19">
        <v>1</v>
      </c>
      <c r="AA19">
        <v>2</v>
      </c>
    </row>
    <row r="20" spans="3:27" x14ac:dyDescent="0.2">
      <c r="G20" s="8" t="s">
        <v>5</v>
      </c>
      <c r="H20" s="8"/>
      <c r="I20" s="8"/>
      <c r="L20" t="s">
        <v>6</v>
      </c>
      <c r="Q20" s="8" t="s">
        <v>22</v>
      </c>
      <c r="R20" s="8"/>
      <c r="U20" s="8" t="s">
        <v>5</v>
      </c>
      <c r="V20" s="8"/>
      <c r="W20" s="8"/>
      <c r="Y20" s="8" t="s">
        <v>6</v>
      </c>
      <c r="Z20" s="8"/>
      <c r="AA20" s="8"/>
    </row>
    <row r="21" spans="3:27" x14ac:dyDescent="0.2">
      <c r="C21" t="s">
        <v>12</v>
      </c>
      <c r="D21" t="s">
        <v>13</v>
      </c>
      <c r="E21">
        <v>132070</v>
      </c>
      <c r="F21">
        <v>120933</v>
      </c>
      <c r="G21">
        <v>0.28899999999999998</v>
      </c>
      <c r="H21">
        <v>0.54100000000000004</v>
      </c>
      <c r="I21">
        <v>0.17</v>
      </c>
      <c r="K21">
        <f>G21*132070</f>
        <v>38168.229999999996</v>
      </c>
      <c r="L21">
        <f t="shared" ref="L21:M21" si="21">H21*132070</f>
        <v>71449.87000000001</v>
      </c>
      <c r="M21">
        <f t="shared" si="21"/>
        <v>22451.9</v>
      </c>
      <c r="N21">
        <f>L21+M21</f>
        <v>93901.770000000019</v>
      </c>
      <c r="Q21" t="s">
        <v>12</v>
      </c>
      <c r="R21" t="s">
        <v>13</v>
      </c>
      <c r="S21">
        <v>53099</v>
      </c>
      <c r="T21">
        <v>63580</v>
      </c>
      <c r="U21">
        <v>9.8000000000000004E-2</v>
      </c>
      <c r="V21">
        <v>0.66200000000000003</v>
      </c>
      <c r="W21">
        <v>0.24</v>
      </c>
      <c r="Y21">
        <f>U21*53099</f>
        <v>5203.7020000000002</v>
      </c>
      <c r="Z21">
        <f t="shared" ref="Z21:AA21" si="22">V21*53099</f>
        <v>35151.538</v>
      </c>
      <c r="AA21">
        <f t="shared" si="22"/>
        <v>12743.76</v>
      </c>
    </row>
    <row r="22" spans="3:27" x14ac:dyDescent="0.2">
      <c r="D22" t="s">
        <v>14</v>
      </c>
      <c r="F22">
        <v>61831</v>
      </c>
      <c r="G22">
        <v>0.57999999999999996</v>
      </c>
      <c r="H22">
        <v>0.376</v>
      </c>
      <c r="I22">
        <v>4.3999999999999997E-2</v>
      </c>
      <c r="K22">
        <f t="shared" ref="K22:K23" si="23">G22*132070</f>
        <v>76600.599999999991</v>
      </c>
      <c r="L22">
        <f t="shared" ref="L22:L23" si="24">H22*132070</f>
        <v>49658.32</v>
      </c>
      <c r="M22">
        <f t="shared" ref="M22:M23" si="25">I22*132070</f>
        <v>5811.08</v>
      </c>
      <c r="N22">
        <f t="shared" ref="N22:N29" si="26">L22+M22</f>
        <v>55469.4</v>
      </c>
      <c r="R22" t="s">
        <v>14</v>
      </c>
      <c r="T22">
        <v>12400</v>
      </c>
      <c r="U22">
        <v>0.78800000000000003</v>
      </c>
      <c r="V22">
        <v>0.192</v>
      </c>
      <c r="W22">
        <v>0.02</v>
      </c>
      <c r="Y22">
        <f t="shared" ref="Y22:Y23" si="27">U22*53099</f>
        <v>41842.012000000002</v>
      </c>
      <c r="Z22">
        <f t="shared" ref="Z22:Z23" si="28">V22*53099</f>
        <v>10195.008</v>
      </c>
      <c r="AA22">
        <f t="shared" ref="AA22:AA23" si="29">W22*53099</f>
        <v>1061.98</v>
      </c>
    </row>
    <row r="23" spans="3:27" x14ac:dyDescent="0.2">
      <c r="D23" t="s">
        <v>15</v>
      </c>
      <c r="F23">
        <v>13797</v>
      </c>
      <c r="G23">
        <v>0.90200000000000002</v>
      </c>
      <c r="H23">
        <v>9.0999999999999998E-2</v>
      </c>
      <c r="I23">
        <v>7.0000000000000001E-3</v>
      </c>
      <c r="K23">
        <f t="shared" si="23"/>
        <v>119127.14</v>
      </c>
      <c r="L23">
        <f t="shared" si="24"/>
        <v>12018.369999999999</v>
      </c>
      <c r="M23">
        <f t="shared" si="25"/>
        <v>924.49</v>
      </c>
      <c r="N23">
        <f t="shared" si="26"/>
        <v>12942.859999999999</v>
      </c>
      <c r="R23" t="s">
        <v>15</v>
      </c>
      <c r="T23">
        <v>5354</v>
      </c>
      <c r="U23">
        <v>0.90600000000000003</v>
      </c>
      <c r="V23">
        <v>8.6999999999999994E-2</v>
      </c>
      <c r="W23">
        <v>7.0000000000000001E-3</v>
      </c>
      <c r="Y23">
        <f t="shared" si="27"/>
        <v>48107.694000000003</v>
      </c>
      <c r="Z23">
        <f t="shared" si="28"/>
        <v>4619.6129999999994</v>
      </c>
      <c r="AA23">
        <f t="shared" si="29"/>
        <v>371.69299999999998</v>
      </c>
    </row>
    <row r="24" spans="3:27" x14ac:dyDescent="0.2">
      <c r="C24" t="s">
        <v>16</v>
      </c>
      <c r="D24" t="s">
        <v>13</v>
      </c>
      <c r="E24">
        <v>7692</v>
      </c>
      <c r="F24">
        <v>5613</v>
      </c>
      <c r="G24">
        <v>0.435</v>
      </c>
      <c r="H24">
        <v>0.42899999999999999</v>
      </c>
      <c r="I24">
        <v>0.13600000000000001</v>
      </c>
      <c r="K24">
        <f>G24*7692</f>
        <v>3346.02</v>
      </c>
      <c r="L24">
        <f t="shared" ref="L24:M24" si="30">H24*7692</f>
        <v>3299.8679999999999</v>
      </c>
      <c r="M24">
        <f t="shared" si="30"/>
        <v>1046.1120000000001</v>
      </c>
      <c r="N24">
        <f t="shared" si="26"/>
        <v>4345.9799999999996</v>
      </c>
      <c r="Q24" t="s">
        <v>16</v>
      </c>
      <c r="R24" t="s">
        <v>13</v>
      </c>
      <c r="S24">
        <v>2853</v>
      </c>
      <c r="T24">
        <v>2998</v>
      </c>
      <c r="U24">
        <v>0.23899999999999999</v>
      </c>
      <c r="V24">
        <v>0.53</v>
      </c>
      <c r="W24">
        <v>0.23100000000000001</v>
      </c>
      <c r="Y24">
        <f>U24*2853</f>
        <v>681.86699999999996</v>
      </c>
      <c r="Z24">
        <f t="shared" ref="Z24:AA24" si="31">V24*2853</f>
        <v>1512.0900000000001</v>
      </c>
      <c r="AA24">
        <f t="shared" si="31"/>
        <v>659.04300000000001</v>
      </c>
    </row>
    <row r="25" spans="3:27" x14ac:dyDescent="0.2">
      <c r="D25" t="s">
        <v>14</v>
      </c>
      <c r="F25">
        <v>3758</v>
      </c>
      <c r="G25">
        <v>0.55600000000000005</v>
      </c>
      <c r="H25">
        <v>0.40300000000000002</v>
      </c>
      <c r="I25">
        <v>4.1000000000000002E-2</v>
      </c>
      <c r="K25">
        <f t="shared" ref="K25:K26" si="32">G25*7692</f>
        <v>4276.7520000000004</v>
      </c>
      <c r="L25">
        <f t="shared" ref="L25:L26" si="33">H25*7692</f>
        <v>3099.8760000000002</v>
      </c>
      <c r="M25">
        <f t="shared" ref="M25:M26" si="34">I25*7692</f>
        <v>315.37200000000001</v>
      </c>
      <c r="N25">
        <f t="shared" si="26"/>
        <v>3415.248</v>
      </c>
      <c r="R25" t="s">
        <v>14</v>
      </c>
      <c r="T25">
        <v>865</v>
      </c>
      <c r="U25">
        <v>0.72099999999999997</v>
      </c>
      <c r="V25">
        <v>0.25700000000000001</v>
      </c>
      <c r="W25">
        <v>2.1999999999999999E-2</v>
      </c>
      <c r="Y25">
        <f t="shared" ref="Y25:Y26" si="35">U25*2853</f>
        <v>2057.0129999999999</v>
      </c>
      <c r="Z25">
        <f t="shared" ref="Z25:Z26" si="36">V25*2853</f>
        <v>733.221</v>
      </c>
      <c r="AA25">
        <f t="shared" ref="AA25:AA26" si="37">W25*2853</f>
        <v>62.765999999999998</v>
      </c>
    </row>
    <row r="26" spans="3:27" x14ac:dyDescent="0.2">
      <c r="D26" t="s">
        <v>15</v>
      </c>
      <c r="F26">
        <v>2501</v>
      </c>
      <c r="G26">
        <v>0.69199999999999995</v>
      </c>
      <c r="H26">
        <v>0.29099999999999998</v>
      </c>
      <c r="I26">
        <v>1.7000000000000001E-2</v>
      </c>
      <c r="K26">
        <f t="shared" si="32"/>
        <v>5322.8639999999996</v>
      </c>
      <c r="L26">
        <f t="shared" si="33"/>
        <v>2238.3719999999998</v>
      </c>
      <c r="M26">
        <f t="shared" si="34"/>
        <v>130.76400000000001</v>
      </c>
      <c r="N26">
        <f t="shared" si="26"/>
        <v>2369.136</v>
      </c>
      <c r="R26" t="s">
        <v>15</v>
      </c>
      <c r="T26">
        <v>800</v>
      </c>
      <c r="U26">
        <v>0.73499999999999999</v>
      </c>
      <c r="V26">
        <v>0.249</v>
      </c>
      <c r="W26">
        <v>1.6E-2</v>
      </c>
      <c r="Y26">
        <f t="shared" si="35"/>
        <v>2096.9549999999999</v>
      </c>
      <c r="Z26">
        <f t="shared" si="36"/>
        <v>710.39700000000005</v>
      </c>
      <c r="AA26">
        <f t="shared" si="37"/>
        <v>45.648000000000003</v>
      </c>
    </row>
    <row r="27" spans="3:27" x14ac:dyDescent="0.2">
      <c r="C27" t="s">
        <v>17</v>
      </c>
      <c r="D27" t="s">
        <v>13</v>
      </c>
      <c r="E27">
        <v>30982</v>
      </c>
      <c r="F27">
        <v>26269</v>
      </c>
      <c r="G27">
        <v>0.34799999999999998</v>
      </c>
      <c r="H27">
        <v>0.49199999999999999</v>
      </c>
      <c r="I27">
        <v>0.16</v>
      </c>
      <c r="K27">
        <f>G27*30982</f>
        <v>10781.735999999999</v>
      </c>
      <c r="L27">
        <f t="shared" ref="L27:M29" si="38">H27*30982</f>
        <v>15243.144</v>
      </c>
      <c r="M27">
        <f t="shared" si="38"/>
        <v>4957.12</v>
      </c>
      <c r="N27">
        <f t="shared" si="26"/>
        <v>20200.263999999999</v>
      </c>
      <c r="Q27" t="s">
        <v>17</v>
      </c>
      <c r="R27" t="s">
        <v>13</v>
      </c>
      <c r="S27">
        <v>13116</v>
      </c>
      <c r="T27">
        <v>15549</v>
      </c>
      <c r="U27">
        <v>0.13900000000000001</v>
      </c>
      <c r="V27">
        <v>0.60199999999999998</v>
      </c>
      <c r="W27">
        <v>0.25900000000000001</v>
      </c>
      <c r="Y27">
        <f>U27*13116</f>
        <v>1823.1240000000003</v>
      </c>
      <c r="Z27">
        <f t="shared" ref="Z27:AA27" si="39">V27*13116</f>
        <v>7895.8319999999994</v>
      </c>
      <c r="AA27">
        <f t="shared" si="39"/>
        <v>3397.0440000000003</v>
      </c>
    </row>
    <row r="28" spans="3:27" x14ac:dyDescent="0.2">
      <c r="D28" t="s">
        <v>14</v>
      </c>
      <c r="F28">
        <v>15754</v>
      </c>
      <c r="G28">
        <v>0.54600000000000004</v>
      </c>
      <c r="H28">
        <v>0.40400000000000003</v>
      </c>
      <c r="I28">
        <v>0.05</v>
      </c>
      <c r="K28">
        <f t="shared" ref="K28:K29" si="40">G28*30982</f>
        <v>16916.172000000002</v>
      </c>
      <c r="L28">
        <f t="shared" si="38"/>
        <v>12516.728000000001</v>
      </c>
      <c r="M28">
        <f t="shared" si="38"/>
        <v>1549.1000000000001</v>
      </c>
      <c r="N28">
        <f t="shared" si="26"/>
        <v>14065.828000000001</v>
      </c>
      <c r="R28" t="s">
        <v>14</v>
      </c>
      <c r="T28">
        <v>3593</v>
      </c>
      <c r="U28">
        <v>0.753</v>
      </c>
      <c r="V28">
        <v>0.222</v>
      </c>
      <c r="W28">
        <v>2.5000000000000001E-2</v>
      </c>
      <c r="Y28">
        <f t="shared" ref="Y28:Y29" si="41">U28*13116</f>
        <v>9876.348</v>
      </c>
      <c r="Z28">
        <f t="shared" ref="Z28:Z29" si="42">V28*13116</f>
        <v>2911.752</v>
      </c>
      <c r="AA28">
        <f t="shared" ref="AA28:AA29" si="43">W28*13116</f>
        <v>327.90000000000003</v>
      </c>
    </row>
    <row r="29" spans="3:27" x14ac:dyDescent="0.2">
      <c r="D29" t="s">
        <v>15</v>
      </c>
      <c r="F29">
        <v>6039</v>
      </c>
      <c r="G29">
        <v>0.81799999999999995</v>
      </c>
      <c r="H29">
        <v>0.16900000000000001</v>
      </c>
      <c r="I29">
        <v>1.2999999999999999E-2</v>
      </c>
      <c r="K29">
        <f t="shared" si="40"/>
        <v>25343.275999999998</v>
      </c>
      <c r="L29">
        <f t="shared" si="38"/>
        <v>5235.9580000000005</v>
      </c>
      <c r="M29">
        <f t="shared" si="38"/>
        <v>402.76599999999996</v>
      </c>
      <c r="N29">
        <f t="shared" si="26"/>
        <v>5638.7240000000002</v>
      </c>
      <c r="R29" t="s">
        <v>15</v>
      </c>
      <c r="T29">
        <v>2199</v>
      </c>
      <c r="U29">
        <v>0.84399999999999997</v>
      </c>
      <c r="V29">
        <v>0.14399999999999999</v>
      </c>
      <c r="W29">
        <v>1.2E-2</v>
      </c>
      <c r="Y29">
        <f t="shared" si="41"/>
        <v>11069.904</v>
      </c>
      <c r="Z29">
        <f t="shared" si="42"/>
        <v>1888.704</v>
      </c>
      <c r="AA29">
        <f t="shared" si="43"/>
        <v>157.392</v>
      </c>
    </row>
  </sheetData>
  <mergeCells count="12">
    <mergeCell ref="S5:W5"/>
    <mergeCell ref="Q6:R6"/>
    <mergeCell ref="U7:W7"/>
    <mergeCell ref="Q20:R20"/>
    <mergeCell ref="Y7:AA7"/>
    <mergeCell ref="Y20:AA20"/>
    <mergeCell ref="U20:W20"/>
    <mergeCell ref="E4:I4"/>
    <mergeCell ref="C5:D5"/>
    <mergeCell ref="G6:I6"/>
    <mergeCell ref="C19:D19"/>
    <mergeCell ref="G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Medicaid</vt:lpstr>
      <vt:lpstr>MarketScan Commercial CCAE</vt:lpstr>
      <vt:lpstr>Optum Clinformatics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Galbreath</cp:lastModifiedBy>
  <cp:revision/>
  <dcterms:created xsi:type="dcterms:W3CDTF">2025-06-20T21:36:09Z</dcterms:created>
  <dcterms:modified xsi:type="dcterms:W3CDTF">2026-03-29T00:03:34Z</dcterms:modified>
  <cp:category/>
  <cp:contentStatus/>
</cp:coreProperties>
</file>