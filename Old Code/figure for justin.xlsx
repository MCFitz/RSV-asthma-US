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galbreath/Documents/GitHub/RSV-asthma-US/"/>
    </mc:Choice>
  </mc:AlternateContent>
  <xr:revisionPtr revIDLastSave="0" documentId="13_ncr:1_{0058093A-91FA-FE4D-B13B-41B4E8A60E1B}" xr6:coauthVersionLast="47" xr6:coauthVersionMax="47" xr10:uidLastSave="{00000000-0000-0000-0000-000000000000}"/>
  <bookViews>
    <workbookView xWindow="760" yWindow="980" windowWidth="27640" windowHeight="15840" xr2:uid="{7715A2AE-1B85-1D43-A446-D74476172886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G38" i="1"/>
  <c r="F38" i="1"/>
  <c r="E38" i="1"/>
  <c r="H36" i="1"/>
  <c r="G36" i="1"/>
  <c r="F36" i="1"/>
  <c r="E36" i="1"/>
  <c r="H31" i="1"/>
  <c r="G31" i="1"/>
  <c r="F31" i="1"/>
  <c r="E31" i="1"/>
  <c r="H29" i="1"/>
  <c r="H33" i="1" s="1"/>
  <c r="G29" i="1"/>
  <c r="G33" i="1" s="1"/>
  <c r="F29" i="1"/>
  <c r="F33" i="1" s="1"/>
  <c r="E29" i="1"/>
  <c r="E33" i="1" s="1"/>
</calcChain>
</file>

<file path=xl/sharedStrings.xml><?xml version="1.0" encoding="utf-8"?>
<sst xmlns="http://schemas.openxmlformats.org/spreadsheetml/2006/main" count="20" uniqueCount="11">
  <si>
    <t>No Preventitive Intervention</t>
  </si>
  <si>
    <t>Preseasonal RSV LRTI mAb Immunoprophylaxis</t>
  </si>
  <si>
    <t>Preseasonal RSV LRTI Maternal PreFusion Vaccination</t>
  </si>
  <si>
    <t>Counterfactual Assuming no RSV-LRTI Events</t>
  </si>
  <si>
    <t>RSV-LRTI attributable wheeze/asthma cases, n</t>
  </si>
  <si>
    <t>All-cause wheeze/asthma cases, n</t>
  </si>
  <si>
    <t>UCL</t>
  </si>
  <si>
    <t>UCL +</t>
  </si>
  <si>
    <t>LCL</t>
  </si>
  <si>
    <t>LCL -</t>
  </si>
  <si>
    <t>UCL+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</si>
</sst>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1" fillId="2" borderId="2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'[1]R-Programming Analysis'!$Q$94</c:f>
              <c:strCache>
                <c:ptCount val="1"/>
                <c:pt idx="0">
                  <c:v>RSV-LRTI attributable wheeze/asthma cases, n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'[1]R-Programming Analysis'!$R$96:$U$96</c:f>
                <c:numCache>
                  <c:formatCode>General</c:formatCode>
                  <c:ptCount val="4"/>
                  <c:pt idx="0">
                    <c:v>1213</c:v>
                  </c:pt>
                  <c:pt idx="1">
                    <c:v>1036</c:v>
                  </c:pt>
                  <c:pt idx="2">
                    <c:v>1189</c:v>
                  </c:pt>
                  <c:pt idx="3">
                    <c:v>0</c:v>
                  </c:pt>
                </c:numCache>
              </c:numRef>
            </c:plus>
            <c:minus>
              <c:numRef>
                <c:f>'[1]R-Programming Analysis'!$R$98:$U$98</c:f>
                <c:numCache>
                  <c:formatCode>General</c:formatCode>
                  <c:ptCount val="4"/>
                  <c:pt idx="0">
                    <c:v>1080</c:v>
                  </c:pt>
                  <c:pt idx="1">
                    <c:v>920</c:v>
                  </c:pt>
                  <c:pt idx="2">
                    <c:v>1017</c:v>
                  </c:pt>
                  <c:pt idx="3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'[1]R-Programming Analysis'!$R$93:$U$93</c:f>
              <c:strCache>
                <c:ptCount val="4"/>
                <c:pt idx="0">
                  <c:v>No Preventitive Intervention</c:v>
                </c:pt>
                <c:pt idx="1">
                  <c:v>Preseasonal RSV LRTI mAb Immunoprophylaxis</c:v>
                </c:pt>
                <c:pt idx="2">
                  <c:v>Preseasonal RSV LRTI Maternal PreFusion Vaccination</c:v>
                </c:pt>
                <c:pt idx="3">
                  <c:v>Counterfactual Assuming no RSV-LRTI Events</c:v>
                </c:pt>
              </c:strCache>
            </c:strRef>
          </c:cat>
          <c:val>
            <c:numRef>
              <c:f>'[1]R-Programming Analysis'!$R$94:$U$94</c:f>
              <c:numCache>
                <c:formatCode>General</c:formatCode>
                <c:ptCount val="4"/>
                <c:pt idx="0">
                  <c:v>7356</c:v>
                </c:pt>
                <c:pt idx="1">
                  <c:v>5078</c:v>
                </c:pt>
                <c:pt idx="2">
                  <c:v>6206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1-4542-9D5F-1C60F3BCB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145264"/>
        <c:axId val="422170080"/>
      </c:barChart>
      <c:catAx>
        <c:axId val="41414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170080"/>
        <c:crosses val="autoZero"/>
        <c:auto val="1"/>
        <c:lblAlgn val="ctr"/>
        <c:lblOffset val="100"/>
        <c:noMultiLvlLbl val="0"/>
      </c:catAx>
      <c:valAx>
        <c:axId val="4221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Cases of Asthma/Wheeze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45264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63500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5414D-1B54-5849-A151-13075BB10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angalbreath/Downloads/RSVAsthmaUSADataSheet.xlsx" TargetMode="External"/><Relationship Id="rId1" Type="http://schemas.openxmlformats.org/officeDocument/2006/relationships/externalLinkPath" Target="/Users/iangalbreath/Downloads/RSVAsthmaUSAData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cally Attended OP (Total)"/>
      <sheetName val="ED (Total)"/>
      <sheetName val="Inpatient (Total)"/>
      <sheetName val="Death (Total)"/>
      <sheetName val="Sheet4"/>
      <sheetName val="Pooled Cumulative data"/>
      <sheetName val="Mortality Data"/>
      <sheetName val="&quot;Table 3&quot; - RSV Asthma calculat"/>
      <sheetName val="&quot;Table 3&quot; - RSV Asthma calc UL"/>
      <sheetName val="&quot;Table 3&quot; - RSV Asthma calc LL"/>
      <sheetName val="Sheet1"/>
      <sheetName val="Reference Data Totals"/>
      <sheetName val="LRTIReferences"/>
      <sheetName val="R-Programming Analysi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93">
          <cell r="R93" t="str">
            <v>No Preventitive Intervention</v>
          </cell>
          <cell r="S93" t="str">
            <v>Preseasonal RSV LRTI mAb Immunoprophylaxis</v>
          </cell>
          <cell r="T93" t="str">
            <v>Preseasonal RSV LRTI Maternal PreFusion Vaccination</v>
          </cell>
          <cell r="U93" t="str">
            <v>Counterfactual Assuming no RSV-LRTI Events</v>
          </cell>
        </row>
        <row r="94">
          <cell r="Q94" t="str">
            <v>RSV-LRTI attributable wheeze/asthma cases, n</v>
          </cell>
          <cell r="R94">
            <v>7356</v>
          </cell>
          <cell r="S94">
            <v>5078</v>
          </cell>
          <cell r="T94">
            <v>6206</v>
          </cell>
          <cell r="U94">
            <v>0</v>
          </cell>
        </row>
        <row r="96">
          <cell r="R96">
            <v>1213</v>
          </cell>
          <cell r="S96">
            <v>1036</v>
          </cell>
          <cell r="T96">
            <v>1189</v>
          </cell>
          <cell r="U96">
            <v>0</v>
          </cell>
        </row>
        <row r="98">
          <cell r="R98">
            <v>1080</v>
          </cell>
          <cell r="S98">
            <v>920</v>
          </cell>
          <cell r="T98">
            <v>1017</v>
          </cell>
          <cell r="U98">
            <v>0</v>
          </cell>
        </row>
      </sheetData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44C2-C761-F745-A183-6B5C67301419}">
  <dimension ref="D24:H38"/>
  <sheetViews>
    <sheetView tabSelected="1" topLeftCell="A2" workbookViewId="0">
      <selection activeCell="E26" sqref="E26"/>
    </sheetView>
  </sheetViews>
  <sheetFormatPr baseColWidth="10" defaultRowHeight="16" x14ac:dyDescent="0.2"/>
  <sheetData>
    <row r="24" spans="4:8" ht="102" x14ac:dyDescent="0.2">
      <c r="E24" s="1" t="s">
        <v>0</v>
      </c>
      <c r="F24" s="1" t="s">
        <v>1</v>
      </c>
      <c r="G24" s="2" t="s">
        <v>2</v>
      </c>
      <c r="H24" s="1" t="s">
        <v>3</v>
      </c>
    </row>
    <row r="25" spans="4:8" x14ac:dyDescent="0.2">
      <c r="D25" t="s">
        <v>4</v>
      </c>
      <c r="E25">
        <v>7356</v>
      </c>
      <c r="F25">
        <v>5078</v>
      </c>
      <c r="G25" s="3">
        <v>6206</v>
      </c>
      <c r="H25">
        <v>0</v>
      </c>
    </row>
    <row r="26" spans="4:8" x14ac:dyDescent="0.2">
      <c r="D26" t="s">
        <v>5</v>
      </c>
      <c r="E26">
        <v>320302</v>
      </c>
      <c r="F26">
        <v>305035</v>
      </c>
      <c r="G26" s="3">
        <v>319720</v>
      </c>
      <c r="H26">
        <v>264160</v>
      </c>
    </row>
    <row r="27" spans="4:8" x14ac:dyDescent="0.2">
      <c r="D27" s="3"/>
      <c r="E27" s="3"/>
      <c r="F27" s="3"/>
    </row>
    <row r="28" spans="4:8" ht="102" x14ac:dyDescent="0.2">
      <c r="E28" s="2" t="s">
        <v>0</v>
      </c>
      <c r="F28" s="2" t="s">
        <v>1</v>
      </c>
      <c r="G28" s="2" t="s">
        <v>2</v>
      </c>
      <c r="H28" s="4" t="s">
        <v>3</v>
      </c>
    </row>
    <row r="29" spans="4:8" ht="85" x14ac:dyDescent="0.2">
      <c r="D29" s="5" t="s">
        <v>4</v>
      </c>
      <c r="E29" s="3">
        <f>E25</f>
        <v>7356</v>
      </c>
      <c r="F29" s="3">
        <f t="shared" ref="F29:H29" si="0">F25</f>
        <v>5078</v>
      </c>
      <c r="G29" s="3">
        <f t="shared" si="0"/>
        <v>6206</v>
      </c>
      <c r="H29" s="3">
        <f t="shared" si="0"/>
        <v>0</v>
      </c>
    </row>
    <row r="30" spans="4:8" x14ac:dyDescent="0.2">
      <c r="D30" t="s">
        <v>6</v>
      </c>
      <c r="E30">
        <v>8569</v>
      </c>
      <c r="F30">
        <v>6114</v>
      </c>
      <c r="G30">
        <v>7395</v>
      </c>
      <c r="H30">
        <v>0</v>
      </c>
    </row>
    <row r="31" spans="4:8" x14ac:dyDescent="0.2">
      <c r="D31" t="s">
        <v>7</v>
      </c>
      <c r="E31">
        <f>E30-E29</f>
        <v>1213</v>
      </c>
      <c r="F31">
        <f t="shared" ref="F31:H31" si="1">F30-F29</f>
        <v>1036</v>
      </c>
      <c r="G31">
        <f t="shared" si="1"/>
        <v>1189</v>
      </c>
      <c r="H31">
        <f t="shared" si="1"/>
        <v>0</v>
      </c>
    </row>
    <row r="32" spans="4:8" x14ac:dyDescent="0.2">
      <c r="D32" t="s">
        <v>8</v>
      </c>
      <c r="E32">
        <v>6276</v>
      </c>
      <c r="F32">
        <v>4158</v>
      </c>
      <c r="G32">
        <v>5189</v>
      </c>
      <c r="H32">
        <v>0</v>
      </c>
    </row>
    <row r="33" spans="4:8" x14ac:dyDescent="0.2">
      <c r="D33" t="s">
        <v>9</v>
      </c>
      <c r="E33">
        <f>E29-E32</f>
        <v>1080</v>
      </c>
      <c r="F33">
        <f t="shared" ref="F33:H33" si="2">F29-F32</f>
        <v>920</v>
      </c>
      <c r="G33">
        <f t="shared" si="2"/>
        <v>1017</v>
      </c>
      <c r="H33">
        <f t="shared" si="2"/>
        <v>0</v>
      </c>
    </row>
    <row r="34" spans="4:8" x14ac:dyDescent="0.2">
      <c r="D34" t="s">
        <v>5</v>
      </c>
      <c r="E34">
        <v>320302</v>
      </c>
      <c r="F34">
        <v>305035</v>
      </c>
      <c r="G34" s="3">
        <v>319720</v>
      </c>
      <c r="H34">
        <v>315667</v>
      </c>
    </row>
    <row r="35" spans="4:8" x14ac:dyDescent="0.2">
      <c r="D35" t="s">
        <v>6</v>
      </c>
      <c r="E35" s="3">
        <v>344716</v>
      </c>
      <c r="F35" s="3">
        <v>342476</v>
      </c>
      <c r="G35" s="3">
        <v>343660</v>
      </c>
      <c r="H35" s="6">
        <v>336841</v>
      </c>
    </row>
    <row r="36" spans="4:8" x14ac:dyDescent="0.2">
      <c r="D36" t="s">
        <v>10</v>
      </c>
      <c r="E36">
        <f>E35-E34</f>
        <v>24414</v>
      </c>
      <c r="F36">
        <f t="shared" ref="F36:H36" si="3">F35-F34</f>
        <v>37441</v>
      </c>
      <c r="G36">
        <f t="shared" si="3"/>
        <v>23940</v>
      </c>
      <c r="H36">
        <f t="shared" si="3"/>
        <v>21174</v>
      </c>
    </row>
    <row r="37" spans="4:8" x14ac:dyDescent="0.2">
      <c r="D37" t="s">
        <v>8</v>
      </c>
      <c r="E37">
        <v>300169</v>
      </c>
      <c r="F37">
        <v>298038</v>
      </c>
      <c r="G37" s="6">
        <v>298749</v>
      </c>
      <c r="H37">
        <v>293314</v>
      </c>
    </row>
    <row r="38" spans="4:8" x14ac:dyDescent="0.2">
      <c r="D38" t="s">
        <v>9</v>
      </c>
      <c r="E38">
        <f>E34-E37</f>
        <v>20133</v>
      </c>
      <c r="F38">
        <f t="shared" ref="F38:G38" si="4">F34-F37</f>
        <v>6997</v>
      </c>
      <c r="G38">
        <f t="shared" si="4"/>
        <v>20971</v>
      </c>
      <c r="H38">
        <f>H34-H37</f>
        <v>22353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Galbreath</dc:creator>
  <cp:lastModifiedBy>Ian Galbreath</cp:lastModifiedBy>
  <dcterms:created xsi:type="dcterms:W3CDTF">2025-04-30T22:50:15Z</dcterms:created>
  <dcterms:modified xsi:type="dcterms:W3CDTF">2025-05-01T01:47:58Z</dcterms:modified>
</cp:coreProperties>
</file>